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90" windowWidth="26835" windowHeight="13620"/>
  </bookViews>
  <sheets>
    <sheet name="PHM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12" i="1" l="1"/>
  <c r="F12" i="1" s="1"/>
  <c r="E13" i="1" s="1"/>
  <c r="F13" i="1" s="1"/>
  <c r="E14" i="1" s="1"/>
  <c r="F14" i="1" s="1"/>
  <c r="E15" i="1" s="1"/>
  <c r="F15" i="1" s="1"/>
  <c r="E16" i="1" s="1"/>
  <c r="F16" i="1" s="1"/>
  <c r="E17" i="1" s="1"/>
  <c r="F17" i="1" s="1"/>
  <c r="E18" i="1" s="1"/>
  <c r="F18" i="1" s="1"/>
  <c r="E19" i="1" s="1"/>
  <c r="F19" i="1" s="1"/>
  <c r="E20" i="1" s="1"/>
  <c r="F20" i="1" s="1"/>
  <c r="E21" i="1" s="1"/>
  <c r="F21" i="1" s="1"/>
  <c r="E22" i="1" s="1"/>
  <c r="F22" i="1" s="1"/>
  <c r="E23" i="1" s="1"/>
  <c r="F23" i="1" s="1"/>
  <c r="E24" i="1" s="1"/>
  <c r="F24" i="1" s="1"/>
  <c r="E25" i="1" s="1"/>
  <c r="F25" i="1" s="1"/>
  <c r="E26" i="1" s="1"/>
  <c r="F26" i="1" s="1"/>
  <c r="E27" i="1" s="1"/>
  <c r="F27" i="1" s="1"/>
  <c r="E28" i="1" s="1"/>
  <c r="F28" i="1" s="1"/>
  <c r="E29" i="1" s="1"/>
  <c r="F29" i="1" s="1"/>
  <c r="E30" i="1" s="1"/>
  <c r="F30" i="1" s="1"/>
  <c r="E31" i="1" s="1"/>
  <c r="F31" i="1" s="1"/>
  <c r="E32" i="1" s="1"/>
  <c r="F32" i="1" s="1"/>
  <c r="E33" i="1" s="1"/>
  <c r="F33" i="1" s="1"/>
  <c r="E34" i="1" s="1"/>
  <c r="F34" i="1" s="1"/>
  <c r="E35" i="1" s="1"/>
  <c r="F35" i="1" s="1"/>
  <c r="E36" i="1" s="1"/>
  <c r="F36" i="1" s="1"/>
  <c r="E37" i="1" s="1"/>
  <c r="F37" i="1" s="1"/>
  <c r="E38" i="1" s="1"/>
  <c r="F38" i="1" s="1"/>
  <c r="E39" i="1" s="1"/>
  <c r="F39" i="1" s="1"/>
  <c r="E40" i="1" s="1"/>
  <c r="F40" i="1" s="1"/>
  <c r="E41" i="1" s="1"/>
  <c r="F41" i="1" s="1"/>
  <c r="E42" i="1" s="1"/>
  <c r="F42" i="1" s="1"/>
  <c r="E43" i="1" s="1"/>
  <c r="F43" i="1" s="1"/>
  <c r="E44" i="1" s="1"/>
  <c r="F44" i="1" s="1"/>
  <c r="E45" i="1" s="1"/>
  <c r="F45" i="1" s="1"/>
  <c r="E46" i="1" s="1"/>
  <c r="F46" i="1" s="1"/>
  <c r="E47" i="1" s="1"/>
  <c r="F47" i="1" s="1"/>
  <c r="E48" i="1" s="1"/>
  <c r="F48" i="1" s="1"/>
  <c r="E49" i="1" s="1"/>
  <c r="F49" i="1" s="1"/>
  <c r="E50" i="1" s="1"/>
  <c r="F50" i="1" s="1"/>
  <c r="E51" i="1" s="1"/>
  <c r="F51" i="1" s="1"/>
  <c r="E52" i="1" s="1"/>
  <c r="F52" i="1" s="1"/>
  <c r="E53" i="1" s="1"/>
  <c r="F53" i="1" s="1"/>
  <c r="E54" i="1" s="1"/>
  <c r="F54" i="1" s="1"/>
  <c r="E55" i="1" s="1"/>
  <c r="F55" i="1" s="1"/>
  <c r="E56" i="1" s="1"/>
  <c r="F56" i="1" s="1"/>
  <c r="E57" i="1" s="1"/>
  <c r="F57" i="1" s="1"/>
  <c r="E58" i="1" s="1"/>
  <c r="F58" i="1" s="1"/>
  <c r="E59" i="1" s="1"/>
  <c r="F59" i="1" s="1"/>
  <c r="E60" i="1" s="1"/>
  <c r="F60" i="1" s="1"/>
  <c r="E61" i="1" s="1"/>
  <c r="F61" i="1" s="1"/>
  <c r="E62" i="1" s="1"/>
  <c r="F62" i="1" s="1"/>
  <c r="E63" i="1" s="1"/>
  <c r="F63" i="1" s="1"/>
  <c r="E64" i="1" s="1"/>
  <c r="F64" i="1" s="1"/>
  <c r="E65" i="1" s="1"/>
  <c r="F65" i="1" s="1"/>
  <c r="E66" i="1" s="1"/>
  <c r="F66" i="1" s="1"/>
  <c r="E67" i="1" s="1"/>
  <c r="F67" i="1" s="1"/>
  <c r="E68" i="1" s="1"/>
  <c r="F68" i="1" s="1"/>
  <c r="E69" i="1" s="1"/>
  <c r="F69" i="1" s="1"/>
  <c r="E70" i="1" s="1"/>
  <c r="F70" i="1" s="1"/>
  <c r="E71" i="1" s="1"/>
  <c r="F71" i="1" s="1"/>
  <c r="E72" i="1" s="1"/>
  <c r="F72" i="1" s="1"/>
  <c r="E73" i="1" s="1"/>
  <c r="F73" i="1" s="1"/>
  <c r="E74" i="1" s="1"/>
  <c r="F74" i="1" s="1"/>
  <c r="E75" i="1" s="1"/>
  <c r="F75" i="1" s="1"/>
  <c r="E76" i="1" s="1"/>
  <c r="F76" i="1" s="1"/>
  <c r="E77" i="1" s="1"/>
  <c r="F77" i="1" s="1"/>
  <c r="E78" i="1" s="1"/>
  <c r="F78" i="1" s="1"/>
  <c r="E79" i="1" s="1"/>
  <c r="F79" i="1" s="1"/>
  <c r="E80" i="1" s="1"/>
  <c r="F80" i="1" s="1"/>
  <c r="E81" i="1" s="1"/>
  <c r="F81" i="1" s="1"/>
  <c r="E82" i="1" s="1"/>
  <c r="F82" i="1" s="1"/>
  <c r="E83" i="1" s="1"/>
  <c r="F83" i="1" s="1"/>
  <c r="E84" i="1" s="1"/>
  <c r="F84" i="1" s="1"/>
  <c r="E85" i="1" s="1"/>
  <c r="F85" i="1" s="1"/>
  <c r="E86" i="1" s="1"/>
  <c r="F86" i="1" s="1"/>
  <c r="E87" i="1" s="1"/>
  <c r="F87" i="1" s="1"/>
  <c r="E88" i="1" s="1"/>
  <c r="F88" i="1" s="1"/>
  <c r="E89" i="1" s="1"/>
  <c r="F89" i="1" s="1"/>
  <c r="E90" i="1" s="1"/>
  <c r="F90" i="1" s="1"/>
  <c r="E91" i="1" s="1"/>
  <c r="F91" i="1" s="1"/>
  <c r="E92" i="1" s="1"/>
  <c r="F92" i="1" s="1"/>
  <c r="E93" i="1" s="1"/>
  <c r="F93" i="1" s="1"/>
  <c r="E94" i="1" s="1"/>
  <c r="F94" i="1" s="1"/>
  <c r="E95" i="1" s="1"/>
  <c r="F95" i="1" s="1"/>
  <c r="E96" i="1" s="1"/>
  <c r="F96" i="1" s="1"/>
  <c r="E97" i="1" s="1"/>
  <c r="F97" i="1" s="1"/>
  <c r="E98" i="1" s="1"/>
  <c r="F98" i="1" s="1"/>
  <c r="E99" i="1" s="1"/>
  <c r="F99" i="1" s="1"/>
  <c r="E100" i="1" s="1"/>
  <c r="F100" i="1" s="1"/>
  <c r="E101" i="1" s="1"/>
  <c r="F101" i="1" s="1"/>
  <c r="E102" i="1" s="1"/>
  <c r="F102" i="1" s="1"/>
  <c r="E103" i="1" s="1"/>
  <c r="F103" i="1" s="1"/>
  <c r="E104" i="1" s="1"/>
  <c r="F104" i="1" s="1"/>
  <c r="E105" i="1" s="1"/>
  <c r="F105" i="1" s="1"/>
  <c r="E106" i="1" s="1"/>
  <c r="F106" i="1" s="1"/>
  <c r="E107" i="1" s="1"/>
  <c r="F107" i="1" s="1"/>
  <c r="E108" i="1" s="1"/>
  <c r="F108" i="1" s="1"/>
  <c r="E109" i="1" s="1"/>
  <c r="F109" i="1" s="1"/>
  <c r="E110" i="1" s="1"/>
  <c r="F110" i="1" s="1"/>
  <c r="E111" i="1" s="1"/>
  <c r="F111" i="1" s="1"/>
  <c r="E112" i="1" s="1"/>
  <c r="F112" i="1" s="1"/>
  <c r="E113" i="1" s="1"/>
  <c r="F113" i="1" s="1"/>
  <c r="E114" i="1" s="1"/>
  <c r="F114" i="1" s="1"/>
  <c r="E115" i="1" s="1"/>
  <c r="F115" i="1" s="1"/>
  <c r="E116" i="1" s="1"/>
  <c r="F116" i="1" s="1"/>
  <c r="E117" i="1" s="1"/>
  <c r="F117" i="1" s="1"/>
  <c r="E118" i="1" s="1"/>
  <c r="F118" i="1" s="1"/>
  <c r="E119" i="1" s="1"/>
  <c r="F119" i="1" s="1"/>
  <c r="E120" i="1" s="1"/>
  <c r="F120" i="1" s="1"/>
  <c r="E121" i="1" s="1"/>
  <c r="F121" i="1" s="1"/>
  <c r="E122" i="1" s="1"/>
  <c r="F122" i="1" s="1"/>
  <c r="E123" i="1" s="1"/>
  <c r="F123" i="1" s="1"/>
  <c r="E124" i="1" s="1"/>
  <c r="F124" i="1" s="1"/>
  <c r="E125" i="1" s="1"/>
  <c r="F125" i="1" s="1"/>
  <c r="E126" i="1" s="1"/>
  <c r="F126" i="1" s="1"/>
  <c r="E127" i="1" s="1"/>
  <c r="F127" i="1" s="1"/>
  <c r="E128" i="1" s="1"/>
  <c r="F128" i="1" s="1"/>
  <c r="E129" i="1" s="1"/>
  <c r="F129" i="1" s="1"/>
  <c r="E130" i="1" s="1"/>
  <c r="F130" i="1" s="1"/>
  <c r="E131" i="1" s="1"/>
  <c r="F131" i="1" s="1"/>
  <c r="F11" i="1"/>
  <c r="E11" i="1"/>
  <c r="E10" i="1"/>
  <c r="D12" i="1"/>
  <c r="D11" i="1"/>
  <c r="C131" i="1"/>
  <c r="C12" i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1" i="1"/>
  <c r="C10" i="1"/>
  <c r="H11" i="1"/>
  <c r="H10" i="1"/>
  <c r="J10" i="1" s="1"/>
  <c r="C6" i="1"/>
  <c r="D10" i="1"/>
  <c r="J11" i="1" l="1"/>
  <c r="I10" i="1"/>
  <c r="F10" i="1"/>
  <c r="G10" i="1" s="1"/>
  <c r="G11" i="1" l="1"/>
  <c r="I11" i="1"/>
  <c r="H12" i="1" l="1"/>
  <c r="D13" i="1" s="1"/>
  <c r="H13" i="1" l="1"/>
  <c r="D14" i="1" s="1"/>
  <c r="G12" i="1"/>
  <c r="I12" i="1"/>
  <c r="J12" i="1"/>
  <c r="G13" i="1" l="1"/>
  <c r="I13" i="1"/>
  <c r="J13" i="1"/>
  <c r="H14" i="1" l="1"/>
  <c r="D15" i="1" s="1"/>
  <c r="G14" i="1" l="1"/>
  <c r="I14" i="1"/>
  <c r="J14" i="1"/>
  <c r="H15" i="1" l="1"/>
  <c r="D16" i="1" s="1"/>
  <c r="G15" i="1" l="1"/>
  <c r="J15" i="1"/>
  <c r="I15" i="1"/>
  <c r="H16" i="1" l="1"/>
  <c r="D17" i="1" s="1"/>
  <c r="G16" i="1" l="1"/>
  <c r="I16" i="1"/>
  <c r="J16" i="1"/>
  <c r="H17" i="1" l="1"/>
  <c r="D18" i="1" s="1"/>
  <c r="G17" i="1" l="1"/>
  <c r="I17" i="1"/>
  <c r="J17" i="1"/>
  <c r="H18" i="1" l="1"/>
  <c r="D19" i="1" s="1"/>
  <c r="G18" i="1" l="1"/>
  <c r="J18" i="1"/>
  <c r="I18" i="1"/>
  <c r="H19" i="1" l="1"/>
  <c r="D20" i="1" s="1"/>
  <c r="J19" i="1" l="1"/>
  <c r="I19" i="1"/>
  <c r="G19" i="1"/>
  <c r="H20" i="1" l="1"/>
  <c r="D21" i="1" s="1"/>
  <c r="G20" i="1" l="1"/>
  <c r="I20" i="1"/>
  <c r="J20" i="1"/>
  <c r="H21" i="1" l="1"/>
  <c r="D22" i="1" s="1"/>
  <c r="I21" i="1" l="1"/>
  <c r="J21" i="1"/>
  <c r="G21" i="1"/>
  <c r="H22" i="1" l="1"/>
  <c r="D23" i="1" s="1"/>
  <c r="J22" i="1" l="1"/>
  <c r="I22" i="1"/>
  <c r="G22" i="1"/>
  <c r="H23" i="1" l="1"/>
  <c r="D24" i="1" s="1"/>
  <c r="J23" i="1" l="1"/>
  <c r="I23" i="1"/>
  <c r="G23" i="1"/>
  <c r="H24" i="1" l="1"/>
  <c r="D25" i="1" s="1"/>
  <c r="I24" i="1" l="1"/>
  <c r="J24" i="1"/>
  <c r="G24" i="1"/>
  <c r="H25" i="1" l="1"/>
  <c r="D26" i="1" s="1"/>
  <c r="J25" i="1" l="1"/>
  <c r="I25" i="1"/>
  <c r="G25" i="1"/>
  <c r="H26" i="1" l="1"/>
  <c r="D27" i="1" s="1"/>
  <c r="J26" i="1" l="1"/>
  <c r="I26" i="1"/>
  <c r="G26" i="1"/>
  <c r="H27" i="1" l="1"/>
  <c r="D28" i="1" s="1"/>
  <c r="J27" i="1" l="1"/>
  <c r="I27" i="1"/>
  <c r="G27" i="1"/>
  <c r="H28" i="1" l="1"/>
  <c r="D29" i="1" s="1"/>
  <c r="I28" i="1" l="1"/>
  <c r="J28" i="1"/>
  <c r="G28" i="1"/>
  <c r="H29" i="1" l="1"/>
  <c r="D30" i="1" s="1"/>
  <c r="J29" i="1" l="1"/>
  <c r="I29" i="1"/>
  <c r="G29" i="1"/>
  <c r="H30" i="1" l="1"/>
  <c r="D31" i="1" s="1"/>
  <c r="J30" i="1" l="1"/>
  <c r="I30" i="1"/>
  <c r="G30" i="1"/>
  <c r="H31" i="1" l="1"/>
  <c r="D32" i="1" s="1"/>
  <c r="J31" i="1" l="1"/>
  <c r="I31" i="1"/>
  <c r="G31" i="1"/>
  <c r="H32" i="1" l="1"/>
  <c r="D33" i="1" s="1"/>
  <c r="I32" i="1" l="1"/>
  <c r="J32" i="1"/>
  <c r="G32" i="1"/>
  <c r="H33" i="1" l="1"/>
  <c r="D34" i="1" s="1"/>
  <c r="J33" i="1" l="1"/>
  <c r="I33" i="1"/>
  <c r="G33" i="1"/>
  <c r="H34" i="1" l="1"/>
  <c r="D35" i="1" s="1"/>
  <c r="J34" i="1" l="1"/>
  <c r="I34" i="1"/>
  <c r="G34" i="1"/>
  <c r="H35" i="1" l="1"/>
  <c r="D36" i="1" s="1"/>
  <c r="J35" i="1" l="1"/>
  <c r="I35" i="1"/>
  <c r="G35" i="1"/>
  <c r="H36" i="1" l="1"/>
  <c r="D37" i="1" s="1"/>
  <c r="I36" i="1" l="1"/>
  <c r="J36" i="1"/>
  <c r="G36" i="1"/>
  <c r="H37" i="1" l="1"/>
  <c r="D38" i="1" s="1"/>
  <c r="J37" i="1" l="1"/>
  <c r="I37" i="1"/>
  <c r="G37" i="1"/>
  <c r="H38" i="1" l="1"/>
  <c r="D39" i="1" s="1"/>
  <c r="J38" i="1" l="1"/>
  <c r="I38" i="1"/>
  <c r="G38" i="1"/>
  <c r="H39" i="1" l="1"/>
  <c r="D40" i="1" s="1"/>
  <c r="J39" i="1" l="1"/>
  <c r="I39" i="1"/>
  <c r="G39" i="1"/>
  <c r="H40" i="1" l="1"/>
  <c r="D41" i="1" s="1"/>
  <c r="I40" i="1" l="1"/>
  <c r="J40" i="1"/>
  <c r="G40" i="1"/>
  <c r="H41" i="1" l="1"/>
  <c r="D42" i="1" s="1"/>
  <c r="J41" i="1" l="1"/>
  <c r="I41" i="1"/>
  <c r="G41" i="1"/>
  <c r="H42" i="1" l="1"/>
  <c r="D43" i="1" s="1"/>
  <c r="J42" i="1" l="1"/>
  <c r="I42" i="1"/>
  <c r="G42" i="1"/>
  <c r="H43" i="1" l="1"/>
  <c r="D44" i="1" s="1"/>
  <c r="J43" i="1" l="1"/>
  <c r="I43" i="1"/>
  <c r="G43" i="1"/>
  <c r="H44" i="1" l="1"/>
  <c r="D45" i="1" s="1"/>
  <c r="I44" i="1" l="1"/>
  <c r="J44" i="1"/>
  <c r="G44" i="1"/>
  <c r="H45" i="1" l="1"/>
  <c r="D46" i="1" s="1"/>
  <c r="J45" i="1" l="1"/>
  <c r="I45" i="1"/>
  <c r="G45" i="1"/>
  <c r="H46" i="1" l="1"/>
  <c r="D47" i="1" s="1"/>
  <c r="G46" i="1" l="1"/>
  <c r="J46" i="1"/>
  <c r="I46" i="1"/>
  <c r="H47" i="1" l="1"/>
  <c r="D48" i="1" s="1"/>
  <c r="J47" i="1" l="1"/>
  <c r="I47" i="1"/>
  <c r="G47" i="1"/>
  <c r="H48" i="1" l="1"/>
  <c r="D49" i="1" s="1"/>
  <c r="I48" i="1" l="1"/>
  <c r="J48" i="1"/>
  <c r="G48" i="1"/>
  <c r="H49" i="1" l="1"/>
  <c r="D50" i="1" s="1"/>
  <c r="J49" i="1" l="1"/>
  <c r="I49" i="1"/>
  <c r="G49" i="1"/>
  <c r="H50" i="1" l="1"/>
  <c r="D51" i="1" s="1"/>
  <c r="J50" i="1" l="1"/>
  <c r="I50" i="1"/>
  <c r="G50" i="1"/>
  <c r="H51" i="1" l="1"/>
  <c r="D52" i="1" s="1"/>
  <c r="J51" i="1" l="1"/>
  <c r="I51" i="1"/>
  <c r="G51" i="1"/>
  <c r="H52" i="1" l="1"/>
  <c r="D53" i="1" s="1"/>
  <c r="G52" i="1" l="1"/>
  <c r="I52" i="1"/>
  <c r="J52" i="1"/>
  <c r="H53" i="1" l="1"/>
  <c r="D54" i="1" s="1"/>
  <c r="J53" i="1" l="1"/>
  <c r="I53" i="1"/>
  <c r="G53" i="1"/>
  <c r="H54" i="1" l="1"/>
  <c r="D55" i="1" s="1"/>
  <c r="J54" i="1" l="1"/>
  <c r="I54" i="1"/>
  <c r="G54" i="1"/>
  <c r="H55" i="1" l="1"/>
  <c r="D56" i="1" s="1"/>
  <c r="J55" i="1" l="1"/>
  <c r="I55" i="1"/>
  <c r="G55" i="1"/>
  <c r="H56" i="1" l="1"/>
  <c r="D57" i="1" s="1"/>
  <c r="I56" i="1" l="1"/>
  <c r="J56" i="1"/>
  <c r="G56" i="1"/>
  <c r="H57" i="1" l="1"/>
  <c r="D58" i="1" s="1"/>
  <c r="J57" i="1" l="1"/>
  <c r="I57" i="1"/>
  <c r="G57" i="1"/>
  <c r="H58" i="1" l="1"/>
  <c r="D59" i="1" s="1"/>
  <c r="J58" i="1" l="1"/>
  <c r="I58" i="1"/>
  <c r="G58" i="1"/>
  <c r="H59" i="1" l="1"/>
  <c r="D60" i="1" s="1"/>
  <c r="J59" i="1" l="1"/>
  <c r="I59" i="1"/>
  <c r="G59" i="1"/>
  <c r="H60" i="1" l="1"/>
  <c r="D61" i="1" s="1"/>
  <c r="I60" i="1" l="1"/>
  <c r="J60" i="1"/>
  <c r="G60" i="1"/>
  <c r="H61" i="1" l="1"/>
  <c r="D62" i="1" s="1"/>
  <c r="J61" i="1" l="1"/>
  <c r="I61" i="1"/>
  <c r="G61" i="1"/>
  <c r="H62" i="1" l="1"/>
  <c r="D63" i="1" s="1"/>
  <c r="J62" i="1" l="1"/>
  <c r="I62" i="1"/>
  <c r="G62" i="1"/>
  <c r="H63" i="1" l="1"/>
  <c r="D64" i="1" s="1"/>
  <c r="J63" i="1" l="1"/>
  <c r="I63" i="1"/>
  <c r="G63" i="1"/>
  <c r="H64" i="1" l="1"/>
  <c r="D65" i="1" s="1"/>
  <c r="I64" i="1" l="1"/>
  <c r="J64" i="1"/>
  <c r="G64" i="1"/>
  <c r="H65" i="1" l="1"/>
  <c r="D66" i="1" s="1"/>
  <c r="J65" i="1" l="1"/>
  <c r="I65" i="1"/>
  <c r="G65" i="1"/>
  <c r="H66" i="1" l="1"/>
  <c r="D67" i="1" s="1"/>
  <c r="J66" i="1" l="1"/>
  <c r="I66" i="1"/>
  <c r="G66" i="1"/>
  <c r="H67" i="1" l="1"/>
  <c r="D68" i="1" s="1"/>
  <c r="I67" i="1" l="1"/>
  <c r="J67" i="1"/>
  <c r="G67" i="1"/>
  <c r="H68" i="1" l="1"/>
  <c r="D69" i="1" s="1"/>
  <c r="I68" i="1" l="1"/>
  <c r="J68" i="1"/>
  <c r="G68" i="1"/>
  <c r="H69" i="1" l="1"/>
  <c r="D70" i="1" s="1"/>
  <c r="J69" i="1" l="1"/>
  <c r="I69" i="1"/>
  <c r="G69" i="1"/>
  <c r="H70" i="1" l="1"/>
  <c r="D71" i="1" s="1"/>
  <c r="J70" i="1" l="1"/>
  <c r="I70" i="1"/>
  <c r="G70" i="1"/>
  <c r="H71" i="1" l="1"/>
  <c r="D72" i="1" s="1"/>
  <c r="I71" i="1" l="1"/>
  <c r="J71" i="1"/>
  <c r="G71" i="1"/>
  <c r="H72" i="1" l="1"/>
  <c r="D73" i="1" s="1"/>
  <c r="I72" i="1" l="1"/>
  <c r="J72" i="1"/>
  <c r="G72" i="1"/>
  <c r="H73" i="1" l="1"/>
  <c r="D74" i="1" s="1"/>
  <c r="J73" i="1" l="1"/>
  <c r="I73" i="1"/>
  <c r="G73" i="1"/>
  <c r="H74" i="1" l="1"/>
  <c r="D75" i="1" s="1"/>
  <c r="J74" i="1" l="1"/>
  <c r="I74" i="1"/>
  <c r="G74" i="1"/>
  <c r="H75" i="1" l="1"/>
  <c r="D76" i="1" s="1"/>
  <c r="J75" i="1" l="1"/>
  <c r="I75" i="1"/>
  <c r="G75" i="1"/>
  <c r="H76" i="1" l="1"/>
  <c r="D77" i="1" s="1"/>
  <c r="I76" i="1" l="1"/>
  <c r="J76" i="1"/>
  <c r="G76" i="1"/>
  <c r="H77" i="1" l="1"/>
  <c r="D78" i="1" s="1"/>
  <c r="J77" i="1" l="1"/>
  <c r="I77" i="1"/>
  <c r="G77" i="1"/>
  <c r="H78" i="1" l="1"/>
  <c r="D79" i="1" s="1"/>
  <c r="J78" i="1" l="1"/>
  <c r="I78" i="1"/>
  <c r="G78" i="1"/>
  <c r="H79" i="1" l="1"/>
  <c r="D80" i="1" s="1"/>
  <c r="J79" i="1" l="1"/>
  <c r="I79" i="1"/>
  <c r="G79" i="1"/>
  <c r="H80" i="1" l="1"/>
  <c r="D81" i="1" s="1"/>
  <c r="I80" i="1" l="1"/>
  <c r="J80" i="1"/>
  <c r="G80" i="1"/>
  <c r="H81" i="1" l="1"/>
  <c r="D82" i="1" s="1"/>
  <c r="J81" i="1" l="1"/>
  <c r="I81" i="1"/>
  <c r="G81" i="1"/>
  <c r="H82" i="1" l="1"/>
  <c r="D83" i="1" s="1"/>
  <c r="J82" i="1" l="1"/>
  <c r="I82" i="1"/>
  <c r="G82" i="1"/>
  <c r="H83" i="1" l="1"/>
  <c r="D84" i="1" s="1"/>
  <c r="J83" i="1" l="1"/>
  <c r="I83" i="1"/>
  <c r="G83" i="1"/>
  <c r="H84" i="1" l="1"/>
  <c r="D85" i="1" s="1"/>
  <c r="I84" i="1" l="1"/>
  <c r="J84" i="1"/>
  <c r="G84" i="1"/>
  <c r="H85" i="1" l="1"/>
  <c r="D86" i="1" s="1"/>
  <c r="J85" i="1" l="1"/>
  <c r="I85" i="1"/>
  <c r="G85" i="1"/>
  <c r="H86" i="1" l="1"/>
  <c r="D87" i="1" s="1"/>
  <c r="J86" i="1" l="1"/>
  <c r="I86" i="1"/>
  <c r="G86" i="1"/>
  <c r="H87" i="1" l="1"/>
  <c r="D88" i="1" s="1"/>
  <c r="J87" i="1" l="1"/>
  <c r="I87" i="1"/>
  <c r="G87" i="1"/>
  <c r="H88" i="1" l="1"/>
  <c r="D89" i="1" s="1"/>
  <c r="I88" i="1" l="1"/>
  <c r="J88" i="1"/>
  <c r="G88" i="1"/>
  <c r="H89" i="1" l="1"/>
  <c r="D90" i="1" s="1"/>
  <c r="J89" i="1" l="1"/>
  <c r="I89" i="1"/>
  <c r="G89" i="1"/>
  <c r="H90" i="1" l="1"/>
  <c r="D91" i="1" s="1"/>
  <c r="G90" i="1" l="1"/>
  <c r="J90" i="1"/>
  <c r="I90" i="1"/>
  <c r="H91" i="1" l="1"/>
  <c r="D92" i="1" s="1"/>
  <c r="G91" i="1" l="1"/>
  <c r="J91" i="1"/>
  <c r="I91" i="1"/>
  <c r="H92" i="1" l="1"/>
  <c r="D93" i="1" s="1"/>
  <c r="I92" i="1" l="1"/>
  <c r="J92" i="1"/>
  <c r="G92" i="1"/>
  <c r="H93" i="1" l="1"/>
  <c r="D94" i="1" s="1"/>
  <c r="J93" i="1" l="1"/>
  <c r="I93" i="1"/>
  <c r="G93" i="1"/>
  <c r="H94" i="1" l="1"/>
  <c r="D95" i="1" s="1"/>
  <c r="J94" i="1" l="1"/>
  <c r="I94" i="1"/>
  <c r="G94" i="1"/>
  <c r="H95" i="1" l="1"/>
  <c r="D96" i="1" s="1"/>
  <c r="G95" i="1" l="1"/>
  <c r="J95" i="1"/>
  <c r="I95" i="1"/>
  <c r="H96" i="1" l="1"/>
  <c r="D97" i="1" s="1"/>
  <c r="I96" i="1" l="1"/>
  <c r="J96" i="1"/>
  <c r="G96" i="1"/>
  <c r="H97" i="1" l="1"/>
  <c r="D98" i="1" s="1"/>
  <c r="J97" i="1" l="1"/>
  <c r="I97" i="1"/>
  <c r="G97" i="1"/>
  <c r="H98" i="1" l="1"/>
  <c r="D99" i="1" s="1"/>
  <c r="G98" i="1" l="1"/>
  <c r="J98" i="1"/>
  <c r="I98" i="1"/>
  <c r="H99" i="1" l="1"/>
  <c r="D100" i="1" s="1"/>
  <c r="J99" i="1" l="1"/>
  <c r="I99" i="1"/>
  <c r="G99" i="1"/>
  <c r="H100" i="1" l="1"/>
  <c r="D101" i="1" s="1"/>
  <c r="I100" i="1" l="1"/>
  <c r="J100" i="1"/>
  <c r="G100" i="1"/>
  <c r="H101" i="1" l="1"/>
  <c r="D102" i="1" s="1"/>
  <c r="J101" i="1" l="1"/>
  <c r="I101" i="1"/>
  <c r="G101" i="1"/>
  <c r="H102" i="1" l="1"/>
  <c r="D103" i="1" s="1"/>
  <c r="J102" i="1" l="1"/>
  <c r="I102" i="1"/>
  <c r="G102" i="1"/>
  <c r="H103" i="1" l="1"/>
  <c r="D104" i="1" s="1"/>
  <c r="J103" i="1" l="1"/>
  <c r="I103" i="1"/>
  <c r="G103" i="1"/>
  <c r="H104" i="1" l="1"/>
  <c r="D105" i="1" s="1"/>
  <c r="I104" i="1" l="1"/>
  <c r="J104" i="1"/>
  <c r="G104" i="1"/>
  <c r="H105" i="1" l="1"/>
  <c r="D106" i="1" s="1"/>
  <c r="J105" i="1" l="1"/>
  <c r="I105" i="1"/>
  <c r="G105" i="1"/>
  <c r="H106" i="1" l="1"/>
  <c r="D107" i="1" s="1"/>
  <c r="J106" i="1" l="1"/>
  <c r="I106" i="1"/>
  <c r="G106" i="1"/>
  <c r="H107" i="1" l="1"/>
  <c r="D108" i="1" s="1"/>
  <c r="J107" i="1" l="1"/>
  <c r="I107" i="1"/>
  <c r="G107" i="1"/>
  <c r="H108" i="1" l="1"/>
  <c r="D109" i="1" s="1"/>
  <c r="I108" i="1" l="1"/>
  <c r="J108" i="1"/>
  <c r="G108" i="1"/>
  <c r="H109" i="1" l="1"/>
  <c r="D110" i="1" s="1"/>
  <c r="J109" i="1" l="1"/>
  <c r="I109" i="1"/>
  <c r="G109" i="1"/>
  <c r="H110" i="1" l="1"/>
  <c r="D111" i="1" s="1"/>
  <c r="J110" i="1" l="1"/>
  <c r="I110" i="1"/>
  <c r="G110" i="1"/>
  <c r="H111" i="1" l="1"/>
  <c r="D112" i="1" s="1"/>
  <c r="J111" i="1" l="1"/>
  <c r="I111" i="1"/>
  <c r="G111" i="1"/>
  <c r="H112" i="1" l="1"/>
  <c r="D113" i="1" s="1"/>
  <c r="I112" i="1" l="1"/>
  <c r="J112" i="1"/>
  <c r="G112" i="1"/>
  <c r="H113" i="1" l="1"/>
  <c r="D114" i="1" s="1"/>
  <c r="J113" i="1" l="1"/>
  <c r="I113" i="1"/>
  <c r="G113" i="1"/>
  <c r="H114" i="1" l="1"/>
  <c r="D115" i="1" s="1"/>
  <c r="J114" i="1" l="1"/>
  <c r="I114" i="1"/>
  <c r="G114" i="1"/>
  <c r="H115" i="1" l="1"/>
  <c r="D116" i="1" s="1"/>
  <c r="J115" i="1" l="1"/>
  <c r="I115" i="1"/>
  <c r="G115" i="1"/>
  <c r="H116" i="1" l="1"/>
  <c r="D117" i="1" s="1"/>
  <c r="I116" i="1" l="1"/>
  <c r="J116" i="1"/>
  <c r="G116" i="1"/>
  <c r="H117" i="1" l="1"/>
  <c r="D118" i="1" s="1"/>
  <c r="J117" i="1" l="1"/>
  <c r="I117" i="1"/>
  <c r="G117" i="1"/>
  <c r="H118" i="1" l="1"/>
  <c r="D119" i="1" s="1"/>
  <c r="J118" i="1" l="1"/>
  <c r="I118" i="1"/>
  <c r="G118" i="1"/>
  <c r="H119" i="1" l="1"/>
  <c r="D120" i="1" s="1"/>
  <c r="J119" i="1" l="1"/>
  <c r="I119" i="1"/>
  <c r="G119" i="1"/>
  <c r="H120" i="1" l="1"/>
  <c r="D121" i="1" s="1"/>
  <c r="I120" i="1" l="1"/>
  <c r="J120" i="1"/>
  <c r="G120" i="1"/>
  <c r="H121" i="1" l="1"/>
  <c r="D122" i="1" s="1"/>
  <c r="J121" i="1" l="1"/>
  <c r="I121" i="1"/>
  <c r="G121" i="1"/>
  <c r="H122" i="1" l="1"/>
  <c r="D123" i="1" s="1"/>
  <c r="J122" i="1" l="1"/>
  <c r="I122" i="1"/>
  <c r="G122" i="1"/>
  <c r="H123" i="1" l="1"/>
  <c r="D124" i="1" s="1"/>
  <c r="J123" i="1" l="1"/>
  <c r="I123" i="1"/>
  <c r="G123" i="1"/>
  <c r="H124" i="1" l="1"/>
  <c r="D125" i="1" s="1"/>
  <c r="J124" i="1" l="1"/>
  <c r="I124" i="1"/>
  <c r="G124" i="1"/>
  <c r="H125" i="1" l="1"/>
  <c r="D126" i="1" s="1"/>
  <c r="J125" i="1" l="1"/>
  <c r="I125" i="1"/>
  <c r="G125" i="1"/>
  <c r="H126" i="1" l="1"/>
  <c r="D127" i="1" s="1"/>
  <c r="J126" i="1" l="1"/>
  <c r="I126" i="1"/>
  <c r="G126" i="1"/>
  <c r="H127" i="1" l="1"/>
  <c r="D128" i="1" s="1"/>
  <c r="J127" i="1" l="1"/>
  <c r="I127" i="1"/>
  <c r="G127" i="1"/>
  <c r="H128" i="1" l="1"/>
  <c r="D129" i="1" s="1"/>
  <c r="J128" i="1" l="1"/>
  <c r="I128" i="1"/>
  <c r="G128" i="1"/>
  <c r="H129" i="1" l="1"/>
  <c r="D130" i="1" s="1"/>
  <c r="J129" i="1" l="1"/>
  <c r="I129" i="1"/>
  <c r="G129" i="1"/>
  <c r="H130" i="1" l="1"/>
  <c r="D131" i="1" s="1"/>
  <c r="J130" i="1" l="1"/>
  <c r="I130" i="1"/>
  <c r="G130" i="1"/>
  <c r="H131" i="1" l="1"/>
  <c r="G131" i="1"/>
  <c r="J131" i="1" l="1"/>
  <c r="I131" i="1"/>
</calcChain>
</file>

<file path=xl/sharedStrings.xml><?xml version="1.0" encoding="utf-8"?>
<sst xmlns="http://schemas.openxmlformats.org/spreadsheetml/2006/main" count="14" uniqueCount="14">
  <si>
    <t>P</t>
  </si>
  <si>
    <t>T (yrs)</t>
  </si>
  <si>
    <t>A</t>
  </si>
  <si>
    <t>Start date</t>
  </si>
  <si>
    <t>Period</t>
  </si>
  <si>
    <t>Ending</t>
  </si>
  <si>
    <t>Starting Balance</t>
  </si>
  <si>
    <t>Expected Ending Balance</t>
  </si>
  <si>
    <t>r (per 30 days)</t>
  </si>
  <si>
    <t>Actual Ending Balance</t>
  </si>
  <si>
    <t>Shortfall</t>
  </si>
  <si>
    <t>Actual Rate of return for 30 days</t>
  </si>
  <si>
    <t>Expected Starting Balance</t>
  </si>
  <si>
    <t>Expected Growth (absolute)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</si>
</sst>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10" fontId="0" fillId="0" borderId="0" xfId="0" applyNumberFormat="1"/>
    <xf numFmtId="14" fontId="0" fillId="0" borderId="0" xfId="0" applyNumberFormat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31"/>
  <sheetViews>
    <sheetView tabSelected="1" workbookViewId="0">
      <selection activeCell="G10" sqref="G10"/>
    </sheetView>
  </sheetViews>
  <sheetFormatPr defaultRowHeight="15" x14ac:dyDescent="0.25"/>
  <cols>
    <col min="2" max="2" width="13.5703125" bestFit="1" customWidth="1"/>
    <col min="3" max="3" width="10.7109375" bestFit="1" customWidth="1"/>
    <col min="4" max="4" width="16.28515625" bestFit="1" customWidth="1"/>
    <col min="5" max="5" width="24.140625" bestFit="1" customWidth="1"/>
    <col min="6" max="6" width="23.28515625" bestFit="1" customWidth="1"/>
    <col min="7" max="7" width="31.42578125" customWidth="1"/>
    <col min="8" max="8" width="23.5703125" customWidth="1"/>
    <col min="9" max="9" width="21.7109375" customWidth="1"/>
    <col min="10" max="10" width="29.85546875" bestFit="1" customWidth="1"/>
  </cols>
  <sheetData>
    <row r="2" spans="2:10" x14ac:dyDescent="0.25">
      <c r="B2" t="s">
        <v>3</v>
      </c>
      <c r="C2" s="2">
        <v>43252</v>
      </c>
    </row>
    <row r="3" spans="2:10" x14ac:dyDescent="0.25">
      <c r="B3" t="s">
        <v>0</v>
      </c>
      <c r="C3">
        <v>26500</v>
      </c>
    </row>
    <row r="4" spans="2:10" x14ac:dyDescent="0.25">
      <c r="B4" t="s">
        <v>1</v>
      </c>
      <c r="C4">
        <v>10</v>
      </c>
      <c r="D4" s="2"/>
      <c r="E4" s="2"/>
    </row>
    <row r="5" spans="2:10" x14ac:dyDescent="0.25">
      <c r="B5" t="s">
        <v>2</v>
      </c>
      <c r="C5">
        <v>100000000</v>
      </c>
    </row>
    <row r="6" spans="2:10" x14ac:dyDescent="0.25">
      <c r="B6" t="s">
        <v>8</v>
      </c>
      <c r="C6" s="1">
        <f>((C5/C3)^(1/(((DATE(YEAR(C2)+10,MONTH(C2),DAY(C2)))-C2)/30)))-1</f>
        <v>6.9975506883241945E-2</v>
      </c>
    </row>
    <row r="9" spans="2:10" x14ac:dyDescent="0.25">
      <c r="B9" t="s">
        <v>4</v>
      </c>
      <c r="C9" t="s">
        <v>5</v>
      </c>
      <c r="D9" t="s">
        <v>6</v>
      </c>
      <c r="E9" t="s">
        <v>12</v>
      </c>
      <c r="F9" t="s">
        <v>7</v>
      </c>
      <c r="G9" t="s">
        <v>13</v>
      </c>
      <c r="H9" t="s">
        <v>9</v>
      </c>
      <c r="I9" t="s">
        <v>10</v>
      </c>
      <c r="J9" t="s">
        <v>11</v>
      </c>
    </row>
    <row r="10" spans="2:10" x14ac:dyDescent="0.25">
      <c r="B10">
        <v>1</v>
      </c>
      <c r="C10" s="2">
        <f>C2+30</f>
        <v>43282</v>
      </c>
      <c r="D10" s="3">
        <f>C3</f>
        <v>26500</v>
      </c>
      <c r="E10" s="3">
        <f>D10</f>
        <v>26500</v>
      </c>
      <c r="F10" s="3">
        <f>D10*(1+$C$6)</f>
        <v>28354.350932405912</v>
      </c>
      <c r="G10" s="4">
        <f>F10-D10</f>
        <v>1854.3509324059123</v>
      </c>
      <c r="H10" s="4">
        <f>D10</f>
        <v>26500</v>
      </c>
      <c r="I10" s="4">
        <f>H10-F10</f>
        <v>-1854.3509324059123</v>
      </c>
      <c r="J10" s="1">
        <f>(H10-D10)/D10</f>
        <v>0</v>
      </c>
    </row>
    <row r="11" spans="2:10" x14ac:dyDescent="0.25">
      <c r="B11">
        <v>2</v>
      </c>
      <c r="C11" s="2">
        <f>C10+30</f>
        <v>43312</v>
      </c>
      <c r="D11" s="4">
        <f>H10</f>
        <v>26500</v>
      </c>
      <c r="E11" s="4">
        <f>F10</f>
        <v>28354.350932405912</v>
      </c>
      <c r="F11" s="3">
        <f>E11*(1+$C$6)</f>
        <v>30338.461011246342</v>
      </c>
      <c r="G11" s="4">
        <f t="shared" ref="G11:G74" si="0">F11-D11</f>
        <v>3838.4610112463415</v>
      </c>
      <c r="H11" s="4">
        <f t="shared" ref="H11:H74" si="1">D11</f>
        <v>26500</v>
      </c>
      <c r="I11" s="4">
        <f t="shared" ref="I11:I74" si="2">H11-F11</f>
        <v>-3838.4610112463415</v>
      </c>
      <c r="J11" s="1">
        <f t="shared" ref="J11:J74" si="3">(H11-D11)/D11</f>
        <v>0</v>
      </c>
    </row>
    <row r="12" spans="2:10" x14ac:dyDescent="0.25">
      <c r="B12">
        <v>2</v>
      </c>
      <c r="C12" s="2">
        <f t="shared" ref="C12:C75" si="4">C11+30</f>
        <v>43342</v>
      </c>
      <c r="D12" s="4">
        <f t="shared" ref="D12:D75" si="5">H11</f>
        <v>26500</v>
      </c>
      <c r="E12" s="4">
        <f t="shared" ref="E12:E75" si="6">F11</f>
        <v>30338.461011246342</v>
      </c>
      <c r="F12" s="3">
        <f t="shared" ref="F12:F75" si="7">E12*(1+$C$6)</f>
        <v>32461.410198565776</v>
      </c>
      <c r="G12" s="4">
        <f t="shared" si="0"/>
        <v>5961.4101985657762</v>
      </c>
      <c r="H12" s="4">
        <f t="shared" si="1"/>
        <v>26500</v>
      </c>
      <c r="I12" s="4">
        <f t="shared" si="2"/>
        <v>-5961.4101985657762</v>
      </c>
      <c r="J12" s="1">
        <f t="shared" si="3"/>
        <v>0</v>
      </c>
    </row>
    <row r="13" spans="2:10" x14ac:dyDescent="0.25">
      <c r="B13">
        <v>3</v>
      </c>
      <c r="C13" s="2">
        <f t="shared" si="4"/>
        <v>43372</v>
      </c>
      <c r="D13" s="4">
        <f t="shared" si="5"/>
        <v>26500</v>
      </c>
      <c r="E13" s="4">
        <f t="shared" si="6"/>
        <v>32461.410198565776</v>
      </c>
      <c r="F13" s="3">
        <f t="shared" si="7"/>
        <v>34732.913831355254</v>
      </c>
      <c r="G13" s="4">
        <f t="shared" si="0"/>
        <v>8232.9138313552539</v>
      </c>
      <c r="H13" s="4">
        <f t="shared" si="1"/>
        <v>26500</v>
      </c>
      <c r="I13" s="4">
        <f t="shared" si="2"/>
        <v>-8232.9138313552539</v>
      </c>
      <c r="J13" s="1">
        <f t="shared" si="3"/>
        <v>0</v>
      </c>
    </row>
    <row r="14" spans="2:10" x14ac:dyDescent="0.25">
      <c r="B14">
        <v>4</v>
      </c>
      <c r="C14" s="2">
        <f t="shared" si="4"/>
        <v>43402</v>
      </c>
      <c r="D14" s="4">
        <f t="shared" si="5"/>
        <v>26500</v>
      </c>
      <c r="E14" s="4">
        <f t="shared" si="6"/>
        <v>34732.913831355254</v>
      </c>
      <c r="F14" s="3">
        <f t="shared" si="7"/>
        <v>37163.367082236306</v>
      </c>
      <c r="G14" s="4">
        <f t="shared" si="0"/>
        <v>10663.367082236306</v>
      </c>
      <c r="H14" s="4">
        <f t="shared" si="1"/>
        <v>26500</v>
      </c>
      <c r="I14" s="4">
        <f t="shared" si="2"/>
        <v>-10663.367082236306</v>
      </c>
      <c r="J14" s="1">
        <f t="shared" si="3"/>
        <v>0</v>
      </c>
    </row>
    <row r="15" spans="2:10" x14ac:dyDescent="0.25">
      <c r="B15">
        <v>5</v>
      </c>
      <c r="C15" s="2">
        <f t="shared" si="4"/>
        <v>43432</v>
      </c>
      <c r="D15" s="4">
        <f t="shared" si="5"/>
        <v>26500</v>
      </c>
      <c r="E15" s="4">
        <f t="shared" si="6"/>
        <v>37163.367082236306</v>
      </c>
      <c r="F15" s="3">
        <f t="shared" si="7"/>
        <v>39763.892531303776</v>
      </c>
      <c r="G15" s="4">
        <f t="shared" si="0"/>
        <v>13263.892531303776</v>
      </c>
      <c r="H15" s="4">
        <f t="shared" si="1"/>
        <v>26500</v>
      </c>
      <c r="I15" s="4">
        <f t="shared" si="2"/>
        <v>-13263.892531303776</v>
      </c>
      <c r="J15" s="1">
        <f t="shared" si="3"/>
        <v>0</v>
      </c>
    </row>
    <row r="16" spans="2:10" x14ac:dyDescent="0.25">
      <c r="B16">
        <v>6</v>
      </c>
      <c r="C16" s="2">
        <f t="shared" si="4"/>
        <v>43462</v>
      </c>
      <c r="D16" s="4">
        <f t="shared" si="5"/>
        <v>26500</v>
      </c>
      <c r="E16" s="4">
        <f t="shared" si="6"/>
        <v>39763.892531303776</v>
      </c>
      <c r="F16" s="3">
        <f t="shared" si="7"/>
        <v>42546.391066832519</v>
      </c>
      <c r="G16" s="4">
        <f t="shared" si="0"/>
        <v>16046.391066832519</v>
      </c>
      <c r="H16" s="4">
        <f t="shared" si="1"/>
        <v>26500</v>
      </c>
      <c r="I16" s="4">
        <f t="shared" si="2"/>
        <v>-16046.391066832519</v>
      </c>
      <c r="J16" s="1">
        <f t="shared" si="3"/>
        <v>0</v>
      </c>
    </row>
    <row r="17" spans="2:10" x14ac:dyDescent="0.25">
      <c r="B17">
        <v>7</v>
      </c>
      <c r="C17" s="2">
        <f t="shared" si="4"/>
        <v>43492</v>
      </c>
      <c r="D17" s="4">
        <f t="shared" si="5"/>
        <v>26500</v>
      </c>
      <c r="E17" s="4">
        <f t="shared" si="6"/>
        <v>42546.391066832519</v>
      </c>
      <c r="F17" s="3">
        <f t="shared" si="7"/>
        <v>45523.596347786763</v>
      </c>
      <c r="G17" s="4">
        <f t="shared" si="0"/>
        <v>19023.596347786763</v>
      </c>
      <c r="H17" s="4">
        <f t="shared" si="1"/>
        <v>26500</v>
      </c>
      <c r="I17" s="4">
        <f t="shared" si="2"/>
        <v>-19023.596347786763</v>
      </c>
      <c r="J17" s="1">
        <f t="shared" si="3"/>
        <v>0</v>
      </c>
    </row>
    <row r="18" spans="2:10" x14ac:dyDescent="0.25">
      <c r="B18">
        <v>8</v>
      </c>
      <c r="C18" s="2">
        <f t="shared" si="4"/>
        <v>43522</v>
      </c>
      <c r="D18" s="4">
        <f t="shared" si="5"/>
        <v>26500</v>
      </c>
      <c r="E18" s="4">
        <f t="shared" si="6"/>
        <v>45523.596347786763</v>
      </c>
      <c r="F18" s="3">
        <f t="shared" si="7"/>
        <v>48709.13307737124</v>
      </c>
      <c r="G18" s="4">
        <f t="shared" si="0"/>
        <v>22209.13307737124</v>
      </c>
      <c r="H18" s="4">
        <f t="shared" si="1"/>
        <v>26500</v>
      </c>
      <c r="I18" s="4">
        <f t="shared" si="2"/>
        <v>-22209.13307737124</v>
      </c>
      <c r="J18" s="1">
        <f t="shared" si="3"/>
        <v>0</v>
      </c>
    </row>
    <row r="19" spans="2:10" x14ac:dyDescent="0.25">
      <c r="B19">
        <v>9</v>
      </c>
      <c r="C19" s="2">
        <f t="shared" si="4"/>
        <v>43552</v>
      </c>
      <c r="D19" s="4">
        <f t="shared" si="5"/>
        <v>26500</v>
      </c>
      <c r="E19" s="4">
        <f t="shared" si="6"/>
        <v>48709.13307737124</v>
      </c>
      <c r="F19" s="3">
        <f t="shared" si="7"/>
        <v>52117.579354303576</v>
      </c>
      <c r="G19" s="4">
        <f t="shared" si="0"/>
        <v>25617.579354303576</v>
      </c>
      <c r="H19" s="4">
        <f t="shared" si="1"/>
        <v>26500</v>
      </c>
      <c r="I19" s="4">
        <f t="shared" si="2"/>
        <v>-25617.579354303576</v>
      </c>
      <c r="J19" s="1">
        <f t="shared" si="3"/>
        <v>0</v>
      </c>
    </row>
    <row r="20" spans="2:10" x14ac:dyDescent="0.25">
      <c r="B20">
        <v>10</v>
      </c>
      <c r="C20" s="2">
        <f t="shared" si="4"/>
        <v>43582</v>
      </c>
      <c r="D20" s="4">
        <f t="shared" si="5"/>
        <v>26500</v>
      </c>
      <c r="E20" s="4">
        <f t="shared" si="6"/>
        <v>52117.579354303576</v>
      </c>
      <c r="F20" s="3">
        <f t="shared" si="7"/>
        <v>55764.533387148556</v>
      </c>
      <c r="G20" s="4">
        <f t="shared" si="0"/>
        <v>29264.533387148556</v>
      </c>
      <c r="H20" s="4">
        <f t="shared" si="1"/>
        <v>26500</v>
      </c>
      <c r="I20" s="4">
        <f t="shared" si="2"/>
        <v>-29264.533387148556</v>
      </c>
      <c r="J20" s="1">
        <f t="shared" si="3"/>
        <v>0</v>
      </c>
    </row>
    <row r="21" spans="2:10" x14ac:dyDescent="0.25">
      <c r="B21">
        <v>11</v>
      </c>
      <c r="C21" s="2">
        <f t="shared" si="4"/>
        <v>43612</v>
      </c>
      <c r="D21" s="4">
        <f t="shared" si="5"/>
        <v>26500</v>
      </c>
      <c r="E21" s="4">
        <f t="shared" si="6"/>
        <v>55764.533387148556</v>
      </c>
      <c r="F21" s="3">
        <f t="shared" si="7"/>
        <v>59666.684877021748</v>
      </c>
      <c r="G21" s="4">
        <f t="shared" si="0"/>
        <v>33166.684877021748</v>
      </c>
      <c r="H21" s="4">
        <f t="shared" si="1"/>
        <v>26500</v>
      </c>
      <c r="I21" s="4">
        <f t="shared" si="2"/>
        <v>-33166.684877021748</v>
      </c>
      <c r="J21" s="1">
        <f t="shared" si="3"/>
        <v>0</v>
      </c>
    </row>
    <row r="22" spans="2:10" x14ac:dyDescent="0.25">
      <c r="B22">
        <v>12</v>
      </c>
      <c r="C22" s="2">
        <f t="shared" si="4"/>
        <v>43642</v>
      </c>
      <c r="D22" s="4">
        <f t="shared" si="5"/>
        <v>26500</v>
      </c>
      <c r="E22" s="4">
        <f t="shared" si="6"/>
        <v>59666.684877021748</v>
      </c>
      <c r="F22" s="3">
        <f t="shared" si="7"/>
        <v>63841.891395334009</v>
      </c>
      <c r="G22" s="4">
        <f t="shared" si="0"/>
        <v>37341.891395334009</v>
      </c>
      <c r="H22" s="4">
        <f t="shared" si="1"/>
        <v>26500</v>
      </c>
      <c r="I22" s="4">
        <f t="shared" si="2"/>
        <v>-37341.891395334009</v>
      </c>
      <c r="J22" s="1">
        <f t="shared" si="3"/>
        <v>0</v>
      </c>
    </row>
    <row r="23" spans="2:10" x14ac:dyDescent="0.25">
      <c r="B23">
        <v>13</v>
      </c>
      <c r="C23" s="2">
        <f t="shared" si="4"/>
        <v>43672</v>
      </c>
      <c r="D23" s="4">
        <f t="shared" si="5"/>
        <v>26500</v>
      </c>
      <c r="E23" s="4">
        <f t="shared" si="6"/>
        <v>63841.891395334009</v>
      </c>
      <c r="F23" s="3">
        <f t="shared" si="7"/>
        <v>68309.260106107395</v>
      </c>
      <c r="G23" s="4">
        <f t="shared" si="0"/>
        <v>41809.260106107395</v>
      </c>
      <c r="H23" s="4">
        <f t="shared" si="1"/>
        <v>26500</v>
      </c>
      <c r="I23" s="4">
        <f t="shared" si="2"/>
        <v>-41809.260106107395</v>
      </c>
      <c r="J23" s="1">
        <f t="shared" si="3"/>
        <v>0</v>
      </c>
    </row>
    <row r="24" spans="2:10" x14ac:dyDescent="0.25">
      <c r="B24">
        <v>14</v>
      </c>
      <c r="C24" s="2">
        <f t="shared" si="4"/>
        <v>43702</v>
      </c>
      <c r="D24" s="4">
        <f t="shared" si="5"/>
        <v>26500</v>
      </c>
      <c r="E24" s="4">
        <f t="shared" si="6"/>
        <v>68309.260106107395</v>
      </c>
      <c r="F24" s="3">
        <f t="shared" si="7"/>
        <v>73089.235206851474</v>
      </c>
      <c r="G24" s="4">
        <f t="shared" si="0"/>
        <v>46589.235206851474</v>
      </c>
      <c r="H24" s="4">
        <f t="shared" si="1"/>
        <v>26500</v>
      </c>
      <c r="I24" s="4">
        <f t="shared" si="2"/>
        <v>-46589.235206851474</v>
      </c>
      <c r="J24" s="1">
        <f t="shared" si="3"/>
        <v>0</v>
      </c>
    </row>
    <row r="25" spans="2:10" x14ac:dyDescent="0.25">
      <c r="B25">
        <v>15</v>
      </c>
      <c r="C25" s="2">
        <f t="shared" si="4"/>
        <v>43732</v>
      </c>
      <c r="D25" s="4">
        <f t="shared" si="5"/>
        <v>26500</v>
      </c>
      <c r="E25" s="4">
        <f t="shared" si="6"/>
        <v>73089.235206851474</v>
      </c>
      <c r="F25" s="3">
        <f t="shared" si="7"/>
        <v>78203.691488159398</v>
      </c>
      <c r="G25" s="4">
        <f t="shared" si="0"/>
        <v>51703.691488159398</v>
      </c>
      <c r="H25" s="4">
        <f t="shared" si="1"/>
        <v>26500</v>
      </c>
      <c r="I25" s="4">
        <f t="shared" si="2"/>
        <v>-51703.691488159398</v>
      </c>
      <c r="J25" s="1">
        <f t="shared" si="3"/>
        <v>0</v>
      </c>
    </row>
    <row r="26" spans="2:10" x14ac:dyDescent="0.25">
      <c r="B26">
        <v>16</v>
      </c>
      <c r="C26" s="2">
        <f t="shared" si="4"/>
        <v>43762</v>
      </c>
      <c r="D26" s="4">
        <f t="shared" si="5"/>
        <v>26500</v>
      </c>
      <c r="E26" s="4">
        <f t="shared" si="6"/>
        <v>78203.691488159398</v>
      </c>
      <c r="F26" s="3">
        <f t="shared" si="7"/>
        <v>83676.034440184027</v>
      </c>
      <c r="G26" s="4">
        <f t="shared" si="0"/>
        <v>57176.034440184027</v>
      </c>
      <c r="H26" s="4">
        <f t="shared" si="1"/>
        <v>26500</v>
      </c>
      <c r="I26" s="4">
        <f t="shared" si="2"/>
        <v>-57176.034440184027</v>
      </c>
      <c r="J26" s="1">
        <f t="shared" si="3"/>
        <v>0</v>
      </c>
    </row>
    <row r="27" spans="2:10" x14ac:dyDescent="0.25">
      <c r="B27">
        <v>17</v>
      </c>
      <c r="C27" s="2">
        <f t="shared" si="4"/>
        <v>43792</v>
      </c>
      <c r="D27" s="4">
        <f t="shared" si="5"/>
        <v>26500</v>
      </c>
      <c r="E27" s="4">
        <f t="shared" si="6"/>
        <v>83676.034440184027</v>
      </c>
      <c r="F27" s="3">
        <f t="shared" si="7"/>
        <v>89531.307364115521</v>
      </c>
      <c r="G27" s="4">
        <f t="shared" si="0"/>
        <v>63031.307364115521</v>
      </c>
      <c r="H27" s="4">
        <f t="shared" si="1"/>
        <v>26500</v>
      </c>
      <c r="I27" s="4">
        <f t="shared" si="2"/>
        <v>-63031.307364115521</v>
      </c>
      <c r="J27" s="1">
        <f t="shared" si="3"/>
        <v>0</v>
      </c>
    </row>
    <row r="28" spans="2:10" x14ac:dyDescent="0.25">
      <c r="B28">
        <v>18</v>
      </c>
      <c r="C28" s="2">
        <f t="shared" si="4"/>
        <v>43822</v>
      </c>
      <c r="D28" s="4">
        <f t="shared" si="5"/>
        <v>26500</v>
      </c>
      <c r="E28" s="4">
        <f t="shared" si="6"/>
        <v>89531.307364115521</v>
      </c>
      <c r="F28" s="3">
        <f t="shared" si="7"/>
        <v>95796.305978838835</v>
      </c>
      <c r="G28" s="4">
        <f t="shared" si="0"/>
        <v>69296.305978838835</v>
      </c>
      <c r="H28" s="4">
        <f t="shared" si="1"/>
        <v>26500</v>
      </c>
      <c r="I28" s="4">
        <f t="shared" si="2"/>
        <v>-69296.305978838835</v>
      </c>
      <c r="J28" s="1">
        <f t="shared" si="3"/>
        <v>0</v>
      </c>
    </row>
    <row r="29" spans="2:10" x14ac:dyDescent="0.25">
      <c r="B29">
        <v>19</v>
      </c>
      <c r="C29" s="2">
        <f t="shared" si="4"/>
        <v>43852</v>
      </c>
      <c r="D29" s="4">
        <f t="shared" si="5"/>
        <v>26500</v>
      </c>
      <c r="E29" s="4">
        <f t="shared" si="6"/>
        <v>95796.305978838835</v>
      </c>
      <c r="F29" s="3">
        <f t="shared" si="7"/>
        <v>102499.70104725023</v>
      </c>
      <c r="G29" s="4">
        <f t="shared" si="0"/>
        <v>75999.70104725023</v>
      </c>
      <c r="H29" s="4">
        <f t="shared" si="1"/>
        <v>26500</v>
      </c>
      <c r="I29" s="4">
        <f t="shared" si="2"/>
        <v>-75999.70104725023</v>
      </c>
      <c r="J29" s="1">
        <f t="shared" si="3"/>
        <v>0</v>
      </c>
    </row>
    <row r="30" spans="2:10" x14ac:dyDescent="0.25">
      <c r="B30">
        <v>20</v>
      </c>
      <c r="C30" s="2">
        <f t="shared" si="4"/>
        <v>43882</v>
      </c>
      <c r="D30" s="4">
        <f t="shared" si="5"/>
        <v>26500</v>
      </c>
      <c r="E30" s="4">
        <f t="shared" si="6"/>
        <v>102499.70104725023</v>
      </c>
      <c r="F30" s="3">
        <f t="shared" si="7"/>
        <v>109672.16958341232</v>
      </c>
      <c r="G30" s="4">
        <f t="shared" si="0"/>
        <v>83172.169583412324</v>
      </c>
      <c r="H30" s="4">
        <f t="shared" si="1"/>
        <v>26500</v>
      </c>
      <c r="I30" s="4">
        <f t="shared" si="2"/>
        <v>-83172.169583412324</v>
      </c>
      <c r="J30" s="1">
        <f t="shared" si="3"/>
        <v>0</v>
      </c>
    </row>
    <row r="31" spans="2:10" x14ac:dyDescent="0.25">
      <c r="B31">
        <v>21</v>
      </c>
      <c r="C31" s="2">
        <f t="shared" si="4"/>
        <v>43912</v>
      </c>
      <c r="D31" s="4">
        <f t="shared" si="5"/>
        <v>26500</v>
      </c>
      <c r="E31" s="4">
        <f t="shared" si="6"/>
        <v>109672.16958341232</v>
      </c>
      <c r="F31" s="3">
        <f t="shared" si="7"/>
        <v>117346.53524099647</v>
      </c>
      <c r="G31" s="4">
        <f t="shared" si="0"/>
        <v>90846.535240996469</v>
      </c>
      <c r="H31" s="4">
        <f t="shared" si="1"/>
        <v>26500</v>
      </c>
      <c r="I31" s="4">
        <f t="shared" si="2"/>
        <v>-90846.535240996469</v>
      </c>
      <c r="J31" s="1">
        <f t="shared" si="3"/>
        <v>0</v>
      </c>
    </row>
    <row r="32" spans="2:10" x14ac:dyDescent="0.25">
      <c r="B32">
        <v>22</v>
      </c>
      <c r="C32" s="2">
        <f t="shared" si="4"/>
        <v>43942</v>
      </c>
      <c r="D32" s="4">
        <f t="shared" si="5"/>
        <v>26500</v>
      </c>
      <c r="E32" s="4">
        <f t="shared" si="6"/>
        <v>117346.53524099647</v>
      </c>
      <c r="F32" s="3">
        <f t="shared" si="7"/>
        <v>125557.91852547741</v>
      </c>
      <c r="G32" s="4">
        <f t="shared" si="0"/>
        <v>99057.918525477406</v>
      </c>
      <c r="H32" s="4">
        <f t="shared" si="1"/>
        <v>26500</v>
      </c>
      <c r="I32" s="4">
        <f t="shared" si="2"/>
        <v>-99057.918525477406</v>
      </c>
      <c r="J32" s="1">
        <f t="shared" si="3"/>
        <v>0</v>
      </c>
    </row>
    <row r="33" spans="2:10" x14ac:dyDescent="0.25">
      <c r="B33">
        <v>23</v>
      </c>
      <c r="C33" s="2">
        <f t="shared" si="4"/>
        <v>43972</v>
      </c>
      <c r="D33" s="4">
        <f t="shared" si="5"/>
        <v>26500</v>
      </c>
      <c r="E33" s="4">
        <f t="shared" si="6"/>
        <v>125557.91852547741</v>
      </c>
      <c r="F33" s="3">
        <f t="shared" si="7"/>
        <v>134343.89751750248</v>
      </c>
      <c r="G33" s="4">
        <f t="shared" si="0"/>
        <v>107843.89751750248</v>
      </c>
      <c r="H33" s="4">
        <f t="shared" si="1"/>
        <v>26500</v>
      </c>
      <c r="I33" s="4">
        <f t="shared" si="2"/>
        <v>-107843.89751750248</v>
      </c>
      <c r="J33" s="1">
        <f t="shared" si="3"/>
        <v>0</v>
      </c>
    </row>
    <row r="34" spans="2:10" x14ac:dyDescent="0.25">
      <c r="B34">
        <v>24</v>
      </c>
      <c r="C34" s="2">
        <f t="shared" si="4"/>
        <v>44002</v>
      </c>
      <c r="D34" s="4">
        <f t="shared" si="5"/>
        <v>26500</v>
      </c>
      <c r="E34" s="4">
        <f t="shared" si="6"/>
        <v>134343.89751750248</v>
      </c>
      <c r="F34" s="3">
        <f t="shared" si="7"/>
        <v>143744.67984296003</v>
      </c>
      <c r="G34" s="4">
        <f t="shared" si="0"/>
        <v>117244.67984296003</v>
      </c>
      <c r="H34" s="4">
        <f t="shared" si="1"/>
        <v>26500</v>
      </c>
      <c r="I34" s="4">
        <f t="shared" si="2"/>
        <v>-117244.67984296003</v>
      </c>
      <c r="J34" s="1">
        <f t="shared" si="3"/>
        <v>0</v>
      </c>
    </row>
    <row r="35" spans="2:10" x14ac:dyDescent="0.25">
      <c r="B35">
        <v>25</v>
      </c>
      <c r="C35" s="2">
        <f t="shared" si="4"/>
        <v>44032</v>
      </c>
      <c r="D35" s="4">
        <f t="shared" si="5"/>
        <v>26500</v>
      </c>
      <c r="E35" s="4">
        <f t="shared" si="6"/>
        <v>143744.67984296003</v>
      </c>
      <c r="F35" s="3">
        <f t="shared" si="7"/>
        <v>153803.28667674048</v>
      </c>
      <c r="G35" s="4">
        <f t="shared" si="0"/>
        <v>127303.28667674048</v>
      </c>
      <c r="H35" s="4">
        <f t="shared" si="1"/>
        <v>26500</v>
      </c>
      <c r="I35" s="4">
        <f t="shared" si="2"/>
        <v>-127303.28667674048</v>
      </c>
      <c r="J35" s="1">
        <f t="shared" si="3"/>
        <v>0</v>
      </c>
    </row>
    <row r="36" spans="2:10" x14ac:dyDescent="0.25">
      <c r="B36">
        <v>26</v>
      </c>
      <c r="C36" s="2">
        <f t="shared" si="4"/>
        <v>44062</v>
      </c>
      <c r="D36" s="4">
        <f t="shared" si="5"/>
        <v>26500</v>
      </c>
      <c r="E36" s="4">
        <f t="shared" si="6"/>
        <v>153803.28667674048</v>
      </c>
      <c r="F36" s="3">
        <f t="shared" si="7"/>
        <v>164565.74962225396</v>
      </c>
      <c r="G36" s="4">
        <f t="shared" si="0"/>
        <v>138065.74962225396</v>
      </c>
      <c r="H36" s="4">
        <f t="shared" si="1"/>
        <v>26500</v>
      </c>
      <c r="I36" s="4">
        <f t="shared" si="2"/>
        <v>-138065.74962225396</v>
      </c>
      <c r="J36" s="1">
        <f t="shared" si="3"/>
        <v>0</v>
      </c>
    </row>
    <row r="37" spans="2:10" x14ac:dyDescent="0.25">
      <c r="B37">
        <v>27</v>
      </c>
      <c r="C37" s="2">
        <f t="shared" si="4"/>
        <v>44092</v>
      </c>
      <c r="D37" s="4">
        <f t="shared" si="5"/>
        <v>26500</v>
      </c>
      <c r="E37" s="4">
        <f t="shared" si="6"/>
        <v>164565.74962225396</v>
      </c>
      <c r="F37" s="3">
        <f t="shared" si="7"/>
        <v>176081.32136769185</v>
      </c>
      <c r="G37" s="4">
        <f t="shared" si="0"/>
        <v>149581.32136769185</v>
      </c>
      <c r="H37" s="4">
        <f t="shared" si="1"/>
        <v>26500</v>
      </c>
      <c r="I37" s="4">
        <f t="shared" si="2"/>
        <v>-149581.32136769185</v>
      </c>
      <c r="J37" s="1">
        <f t="shared" si="3"/>
        <v>0</v>
      </c>
    </row>
    <row r="38" spans="2:10" x14ac:dyDescent="0.25">
      <c r="B38">
        <v>28</v>
      </c>
      <c r="C38" s="2">
        <f t="shared" si="4"/>
        <v>44122</v>
      </c>
      <c r="D38" s="4">
        <f t="shared" si="5"/>
        <v>26500</v>
      </c>
      <c r="E38" s="4">
        <f t="shared" si="6"/>
        <v>176081.32136769185</v>
      </c>
      <c r="F38" s="3">
        <f t="shared" si="7"/>
        <v>188402.70108306711</v>
      </c>
      <c r="G38" s="4">
        <f t="shared" si="0"/>
        <v>161902.70108306711</v>
      </c>
      <c r="H38" s="4">
        <f t="shared" si="1"/>
        <v>26500</v>
      </c>
      <c r="I38" s="4">
        <f t="shared" si="2"/>
        <v>-161902.70108306711</v>
      </c>
      <c r="J38" s="1">
        <f t="shared" si="3"/>
        <v>0</v>
      </c>
    </row>
    <row r="39" spans="2:10" x14ac:dyDescent="0.25">
      <c r="B39">
        <v>29</v>
      </c>
      <c r="C39" s="2">
        <f t="shared" si="4"/>
        <v>44152</v>
      </c>
      <c r="D39" s="4">
        <f t="shared" si="5"/>
        <v>26500</v>
      </c>
      <c r="E39" s="4">
        <f t="shared" si="6"/>
        <v>188402.70108306711</v>
      </c>
      <c r="F39" s="3">
        <f t="shared" si="7"/>
        <v>201586.27558952663</v>
      </c>
      <c r="G39" s="4">
        <f t="shared" si="0"/>
        <v>175086.27558952663</v>
      </c>
      <c r="H39" s="4">
        <f t="shared" si="1"/>
        <v>26500</v>
      </c>
      <c r="I39" s="4">
        <f t="shared" si="2"/>
        <v>-175086.27558952663</v>
      </c>
      <c r="J39" s="1">
        <f t="shared" si="3"/>
        <v>0</v>
      </c>
    </row>
    <row r="40" spans="2:10" x14ac:dyDescent="0.25">
      <c r="B40">
        <v>30</v>
      </c>
      <c r="C40" s="2">
        <f t="shared" si="4"/>
        <v>44182</v>
      </c>
      <c r="D40" s="4">
        <f t="shared" si="5"/>
        <v>26500</v>
      </c>
      <c r="E40" s="4">
        <f t="shared" si="6"/>
        <v>201586.27558952663</v>
      </c>
      <c r="F40" s="3">
        <f t="shared" si="7"/>
        <v>215692.37740460865</v>
      </c>
      <c r="G40" s="4">
        <f t="shared" si="0"/>
        <v>189192.37740460865</v>
      </c>
      <c r="H40" s="4">
        <f t="shared" si="1"/>
        <v>26500</v>
      </c>
      <c r="I40" s="4">
        <f t="shared" si="2"/>
        <v>-189192.37740460865</v>
      </c>
      <c r="J40" s="1">
        <f t="shared" si="3"/>
        <v>0</v>
      </c>
    </row>
    <row r="41" spans="2:10" x14ac:dyDescent="0.25">
      <c r="B41">
        <v>31</v>
      </c>
      <c r="C41" s="2">
        <f t="shared" si="4"/>
        <v>44212</v>
      </c>
      <c r="D41" s="4">
        <f t="shared" si="5"/>
        <v>26500</v>
      </c>
      <c r="E41" s="4">
        <f t="shared" si="6"/>
        <v>215692.37740460865</v>
      </c>
      <c r="F41" s="3">
        <f t="shared" si="7"/>
        <v>230785.56084434767</v>
      </c>
      <c r="G41" s="4">
        <f t="shared" si="0"/>
        <v>204285.56084434767</v>
      </c>
      <c r="H41" s="4">
        <f t="shared" si="1"/>
        <v>26500</v>
      </c>
      <c r="I41" s="4">
        <f t="shared" si="2"/>
        <v>-204285.56084434767</v>
      </c>
      <c r="J41" s="1">
        <f t="shared" si="3"/>
        <v>0</v>
      </c>
    </row>
    <row r="42" spans="2:10" x14ac:dyDescent="0.25">
      <c r="B42">
        <v>32</v>
      </c>
      <c r="C42" s="2">
        <f t="shared" si="4"/>
        <v>44242</v>
      </c>
      <c r="D42" s="4">
        <f t="shared" si="5"/>
        <v>26500</v>
      </c>
      <c r="E42" s="4">
        <f t="shared" si="6"/>
        <v>230785.56084434767</v>
      </c>
      <c r="F42" s="3">
        <f t="shared" si="7"/>
        <v>246934.89744576416</v>
      </c>
      <c r="G42" s="4">
        <f t="shared" si="0"/>
        <v>220434.89744576416</v>
      </c>
      <c r="H42" s="4">
        <f t="shared" si="1"/>
        <v>26500</v>
      </c>
      <c r="I42" s="4">
        <f t="shared" si="2"/>
        <v>-220434.89744576416</v>
      </c>
      <c r="J42" s="1">
        <f t="shared" si="3"/>
        <v>0</v>
      </c>
    </row>
    <row r="43" spans="2:10" x14ac:dyDescent="0.25">
      <c r="B43">
        <v>33</v>
      </c>
      <c r="C43" s="2">
        <f t="shared" si="4"/>
        <v>44272</v>
      </c>
      <c r="D43" s="4">
        <f t="shared" si="5"/>
        <v>26500</v>
      </c>
      <c r="E43" s="4">
        <f t="shared" si="6"/>
        <v>246934.89744576416</v>
      </c>
      <c r="F43" s="3">
        <f t="shared" si="7"/>
        <v>264214.29206169286</v>
      </c>
      <c r="G43" s="4">
        <f t="shared" si="0"/>
        <v>237714.29206169286</v>
      </c>
      <c r="H43" s="4">
        <f t="shared" si="1"/>
        <v>26500</v>
      </c>
      <c r="I43" s="4">
        <f t="shared" si="2"/>
        <v>-237714.29206169286</v>
      </c>
      <c r="J43" s="1">
        <f t="shared" si="3"/>
        <v>0</v>
      </c>
    </row>
    <row r="44" spans="2:10" x14ac:dyDescent="0.25">
      <c r="B44">
        <v>34</v>
      </c>
      <c r="C44" s="2">
        <f t="shared" si="4"/>
        <v>44302</v>
      </c>
      <c r="D44" s="4">
        <f t="shared" si="5"/>
        <v>26500</v>
      </c>
      <c r="E44" s="4">
        <f t="shared" si="6"/>
        <v>264214.29206169286</v>
      </c>
      <c r="F44" s="3">
        <f t="shared" si="7"/>
        <v>282702.82107450673</v>
      </c>
      <c r="G44" s="4">
        <f t="shared" si="0"/>
        <v>256202.82107450673</v>
      </c>
      <c r="H44" s="4">
        <f t="shared" si="1"/>
        <v>26500</v>
      </c>
      <c r="I44" s="4">
        <f t="shared" si="2"/>
        <v>-256202.82107450673</v>
      </c>
      <c r="J44" s="1">
        <f t="shared" si="3"/>
        <v>0</v>
      </c>
    </row>
    <row r="45" spans="2:10" x14ac:dyDescent="0.25">
      <c r="B45">
        <v>35</v>
      </c>
      <c r="C45" s="2">
        <f t="shared" si="4"/>
        <v>44332</v>
      </c>
      <c r="D45" s="4">
        <f t="shared" si="5"/>
        <v>26500</v>
      </c>
      <c r="E45" s="4">
        <f t="shared" si="6"/>
        <v>282702.82107450673</v>
      </c>
      <c r="F45" s="3">
        <f t="shared" si="7"/>
        <v>302485.0942765178</v>
      </c>
      <c r="G45" s="4">
        <f t="shared" si="0"/>
        <v>275985.0942765178</v>
      </c>
      <c r="H45" s="4">
        <f t="shared" si="1"/>
        <v>26500</v>
      </c>
      <c r="I45" s="4">
        <f t="shared" si="2"/>
        <v>-275985.0942765178</v>
      </c>
      <c r="J45" s="1">
        <f t="shared" si="3"/>
        <v>0</v>
      </c>
    </row>
    <row r="46" spans="2:10" x14ac:dyDescent="0.25">
      <c r="B46">
        <v>36</v>
      </c>
      <c r="C46" s="2">
        <f t="shared" si="4"/>
        <v>44362</v>
      </c>
      <c r="D46" s="4">
        <f t="shared" si="5"/>
        <v>26500</v>
      </c>
      <c r="E46" s="4">
        <f t="shared" si="6"/>
        <v>302485.0942765178</v>
      </c>
      <c r="F46" s="3">
        <f t="shared" si="7"/>
        <v>323651.64207314234</v>
      </c>
      <c r="G46" s="4">
        <f t="shared" si="0"/>
        <v>297151.64207314234</v>
      </c>
      <c r="H46" s="4">
        <f t="shared" si="1"/>
        <v>26500</v>
      </c>
      <c r="I46" s="4">
        <f t="shared" si="2"/>
        <v>-297151.64207314234</v>
      </c>
      <c r="J46" s="1">
        <f t="shared" si="3"/>
        <v>0</v>
      </c>
    </row>
    <row r="47" spans="2:10" x14ac:dyDescent="0.25">
      <c r="B47">
        <v>37</v>
      </c>
      <c r="C47" s="2">
        <f t="shared" si="4"/>
        <v>44392</v>
      </c>
      <c r="D47" s="4">
        <f t="shared" si="5"/>
        <v>26500</v>
      </c>
      <c r="E47" s="4">
        <f t="shared" si="6"/>
        <v>323651.64207314234</v>
      </c>
      <c r="F47" s="3">
        <f t="shared" si="7"/>
        <v>346299.32978080405</v>
      </c>
      <c r="G47" s="4">
        <f t="shared" si="0"/>
        <v>319799.32978080405</v>
      </c>
      <c r="H47" s="4">
        <f t="shared" si="1"/>
        <v>26500</v>
      </c>
      <c r="I47" s="4">
        <f t="shared" si="2"/>
        <v>-319799.32978080405</v>
      </c>
      <c r="J47" s="1">
        <f t="shared" si="3"/>
        <v>0</v>
      </c>
    </row>
    <row r="48" spans="2:10" x14ac:dyDescent="0.25">
      <c r="B48">
        <v>38</v>
      </c>
      <c r="C48" s="2">
        <f t="shared" si="4"/>
        <v>44422</v>
      </c>
      <c r="D48" s="4">
        <f t="shared" si="5"/>
        <v>26500</v>
      </c>
      <c r="E48" s="4">
        <f t="shared" si="6"/>
        <v>346299.32978080405</v>
      </c>
      <c r="F48" s="3">
        <f t="shared" si="7"/>
        <v>370531.80091554276</v>
      </c>
      <c r="G48" s="4">
        <f t="shared" si="0"/>
        <v>344031.80091554276</v>
      </c>
      <c r="H48" s="4">
        <f t="shared" si="1"/>
        <v>26500</v>
      </c>
      <c r="I48" s="4">
        <f t="shared" si="2"/>
        <v>-344031.80091554276</v>
      </c>
      <c r="J48" s="1">
        <f t="shared" si="3"/>
        <v>0</v>
      </c>
    </row>
    <row r="49" spans="2:10" x14ac:dyDescent="0.25">
      <c r="B49">
        <v>39</v>
      </c>
      <c r="C49" s="2">
        <f t="shared" si="4"/>
        <v>44452</v>
      </c>
      <c r="D49" s="4">
        <f t="shared" si="5"/>
        <v>26500</v>
      </c>
      <c r="E49" s="4">
        <f t="shared" si="6"/>
        <v>370531.80091554276</v>
      </c>
      <c r="F49" s="3">
        <f t="shared" si="7"/>
        <v>396459.95150096837</v>
      </c>
      <c r="G49" s="4">
        <f t="shared" si="0"/>
        <v>369959.95150096837</v>
      </c>
      <c r="H49" s="4">
        <f t="shared" si="1"/>
        <v>26500</v>
      </c>
      <c r="I49" s="4">
        <f t="shared" si="2"/>
        <v>-369959.95150096837</v>
      </c>
      <c r="J49" s="1">
        <f t="shared" si="3"/>
        <v>0</v>
      </c>
    </row>
    <row r="50" spans="2:10" x14ac:dyDescent="0.25">
      <c r="B50">
        <v>40</v>
      </c>
      <c r="C50" s="2">
        <f t="shared" si="4"/>
        <v>44482</v>
      </c>
      <c r="D50" s="4">
        <f t="shared" si="5"/>
        <v>26500</v>
      </c>
      <c r="E50" s="4">
        <f t="shared" si="6"/>
        <v>396459.95150096837</v>
      </c>
      <c r="F50" s="3">
        <f t="shared" si="7"/>
        <v>424202.43756615417</v>
      </c>
      <c r="G50" s="4">
        <f t="shared" si="0"/>
        <v>397702.43756615417</v>
      </c>
      <c r="H50" s="4">
        <f t="shared" si="1"/>
        <v>26500</v>
      </c>
      <c r="I50" s="4">
        <f t="shared" si="2"/>
        <v>-397702.43756615417</v>
      </c>
      <c r="J50" s="1">
        <f t="shared" si="3"/>
        <v>0</v>
      </c>
    </row>
    <row r="51" spans="2:10" x14ac:dyDescent="0.25">
      <c r="B51">
        <v>41</v>
      </c>
      <c r="C51" s="2">
        <f t="shared" si="4"/>
        <v>44512</v>
      </c>
      <c r="D51" s="4">
        <f t="shared" si="5"/>
        <v>26500</v>
      </c>
      <c r="E51" s="4">
        <f t="shared" si="6"/>
        <v>424202.43756615417</v>
      </c>
      <c r="F51" s="3">
        <f t="shared" si="7"/>
        <v>453886.21815595258</v>
      </c>
      <c r="G51" s="4">
        <f t="shared" si="0"/>
        <v>427386.21815595258</v>
      </c>
      <c r="H51" s="4">
        <f t="shared" si="1"/>
        <v>26500</v>
      </c>
      <c r="I51" s="4">
        <f t="shared" si="2"/>
        <v>-427386.21815595258</v>
      </c>
      <c r="J51" s="1">
        <f t="shared" si="3"/>
        <v>0</v>
      </c>
    </row>
    <row r="52" spans="2:10" x14ac:dyDescent="0.25">
      <c r="B52">
        <v>42</v>
      </c>
      <c r="C52" s="2">
        <f t="shared" si="4"/>
        <v>44542</v>
      </c>
      <c r="D52" s="4">
        <f t="shared" si="5"/>
        <v>26500</v>
      </c>
      <c r="E52" s="4">
        <f t="shared" si="6"/>
        <v>453886.21815595258</v>
      </c>
      <c r="F52" s="3">
        <f t="shared" si="7"/>
        <v>485647.13633873308</v>
      </c>
      <c r="G52" s="4">
        <f t="shared" si="0"/>
        <v>459147.13633873308</v>
      </c>
      <c r="H52" s="4">
        <f t="shared" si="1"/>
        <v>26500</v>
      </c>
      <c r="I52" s="4">
        <f t="shared" si="2"/>
        <v>-459147.13633873308</v>
      </c>
      <c r="J52" s="1">
        <f t="shared" si="3"/>
        <v>0</v>
      </c>
    </row>
    <row r="53" spans="2:10" x14ac:dyDescent="0.25">
      <c r="B53">
        <v>43</v>
      </c>
      <c r="C53" s="2">
        <f t="shared" si="4"/>
        <v>44572</v>
      </c>
      <c r="D53" s="4">
        <f t="shared" si="5"/>
        <v>26500</v>
      </c>
      <c r="E53" s="4">
        <f t="shared" si="6"/>
        <v>485647.13633873308</v>
      </c>
      <c r="F53" s="3">
        <f t="shared" si="7"/>
        <v>519630.54087043082</v>
      </c>
      <c r="G53" s="4">
        <f t="shared" si="0"/>
        <v>493130.54087043082</v>
      </c>
      <c r="H53" s="4">
        <f t="shared" si="1"/>
        <v>26500</v>
      </c>
      <c r="I53" s="4">
        <f t="shared" si="2"/>
        <v>-493130.54087043082</v>
      </c>
      <c r="J53" s="1">
        <f t="shared" si="3"/>
        <v>0</v>
      </c>
    </row>
    <row r="54" spans="2:10" x14ac:dyDescent="0.25">
      <c r="B54">
        <v>44</v>
      </c>
      <c r="C54" s="2">
        <f t="shared" si="4"/>
        <v>44602</v>
      </c>
      <c r="D54" s="4">
        <f t="shared" si="5"/>
        <v>26500</v>
      </c>
      <c r="E54" s="4">
        <f t="shared" si="6"/>
        <v>519630.54087043082</v>
      </c>
      <c r="F54" s="3">
        <f t="shared" si="7"/>
        <v>555991.95135985233</v>
      </c>
      <c r="G54" s="4">
        <f t="shared" si="0"/>
        <v>529491.95135985233</v>
      </c>
      <c r="H54" s="4">
        <f t="shared" si="1"/>
        <v>26500</v>
      </c>
      <c r="I54" s="4">
        <f t="shared" si="2"/>
        <v>-529491.95135985233</v>
      </c>
      <c r="J54" s="1">
        <f t="shared" si="3"/>
        <v>0</v>
      </c>
    </row>
    <row r="55" spans="2:10" x14ac:dyDescent="0.25">
      <c r="B55">
        <v>45</v>
      </c>
      <c r="C55" s="2">
        <f t="shared" si="4"/>
        <v>44632</v>
      </c>
      <c r="D55" s="4">
        <f t="shared" si="5"/>
        <v>26500</v>
      </c>
      <c r="E55" s="4">
        <f t="shared" si="6"/>
        <v>555991.95135985233</v>
      </c>
      <c r="F55" s="3">
        <f t="shared" si="7"/>
        <v>594897.76997926075</v>
      </c>
      <c r="G55" s="4">
        <f t="shared" si="0"/>
        <v>568397.76997926075</v>
      </c>
      <c r="H55" s="4">
        <f t="shared" si="1"/>
        <v>26500</v>
      </c>
      <c r="I55" s="4">
        <f t="shared" si="2"/>
        <v>-568397.76997926075</v>
      </c>
      <c r="J55" s="1">
        <f t="shared" si="3"/>
        <v>0</v>
      </c>
    </row>
    <row r="56" spans="2:10" x14ac:dyDescent="0.25">
      <c r="B56">
        <v>46</v>
      </c>
      <c r="C56" s="2">
        <f t="shared" si="4"/>
        <v>44662</v>
      </c>
      <c r="D56" s="4">
        <f t="shared" si="5"/>
        <v>26500</v>
      </c>
      <c r="E56" s="4">
        <f t="shared" si="6"/>
        <v>594897.76997926075</v>
      </c>
      <c r="F56" s="3">
        <f t="shared" si="7"/>
        <v>636526.04297726974</v>
      </c>
      <c r="G56" s="4">
        <f t="shared" si="0"/>
        <v>610026.04297726974</v>
      </c>
      <c r="H56" s="4">
        <f t="shared" si="1"/>
        <v>26500</v>
      </c>
      <c r="I56" s="4">
        <f t="shared" si="2"/>
        <v>-610026.04297726974</v>
      </c>
      <c r="J56" s="1">
        <f t="shared" si="3"/>
        <v>0</v>
      </c>
    </row>
    <row r="57" spans="2:10" x14ac:dyDescent="0.25">
      <c r="B57">
        <v>47</v>
      </c>
      <c r="C57" s="2">
        <f t="shared" si="4"/>
        <v>44692</v>
      </c>
      <c r="D57" s="4">
        <f t="shared" si="5"/>
        <v>26500</v>
      </c>
      <c r="E57" s="4">
        <f t="shared" si="6"/>
        <v>636526.04297726974</v>
      </c>
      <c r="F57" s="3">
        <f t="shared" si="7"/>
        <v>681067.27547898842</v>
      </c>
      <c r="G57" s="4">
        <f t="shared" si="0"/>
        <v>654567.27547898842</v>
      </c>
      <c r="H57" s="4">
        <f t="shared" si="1"/>
        <v>26500</v>
      </c>
      <c r="I57" s="4">
        <f t="shared" si="2"/>
        <v>-654567.27547898842</v>
      </c>
      <c r="J57" s="1">
        <f t="shared" si="3"/>
        <v>0</v>
      </c>
    </row>
    <row r="58" spans="2:10" x14ac:dyDescent="0.25">
      <c r="B58">
        <v>48</v>
      </c>
      <c r="C58" s="2">
        <f t="shared" si="4"/>
        <v>44722</v>
      </c>
      <c r="D58" s="4">
        <f t="shared" si="5"/>
        <v>26500</v>
      </c>
      <c r="E58" s="4">
        <f t="shared" si="6"/>
        <v>681067.27547898842</v>
      </c>
      <c r="F58" s="3">
        <f t="shared" si="7"/>
        <v>728725.30330221925</v>
      </c>
      <c r="G58" s="4">
        <f t="shared" si="0"/>
        <v>702225.30330221925</v>
      </c>
      <c r="H58" s="4">
        <f t="shared" si="1"/>
        <v>26500</v>
      </c>
      <c r="I58" s="4">
        <f t="shared" si="2"/>
        <v>-702225.30330221925</v>
      </c>
      <c r="J58" s="1">
        <f t="shared" si="3"/>
        <v>0</v>
      </c>
    </row>
    <row r="59" spans="2:10" x14ac:dyDescent="0.25">
      <c r="B59">
        <v>49</v>
      </c>
      <c r="C59" s="2">
        <f t="shared" si="4"/>
        <v>44752</v>
      </c>
      <c r="D59" s="4">
        <f t="shared" si="5"/>
        <v>26500</v>
      </c>
      <c r="E59" s="4">
        <f t="shared" si="6"/>
        <v>728725.30330221925</v>
      </c>
      <c r="F59" s="3">
        <f t="shared" si="7"/>
        <v>779718.2257794363</v>
      </c>
      <c r="G59" s="4">
        <f t="shared" si="0"/>
        <v>753218.2257794363</v>
      </c>
      <c r="H59" s="4">
        <f t="shared" si="1"/>
        <v>26500</v>
      </c>
      <c r="I59" s="4">
        <f t="shared" si="2"/>
        <v>-753218.2257794363</v>
      </c>
      <c r="J59" s="1">
        <f t="shared" si="3"/>
        <v>0</v>
      </c>
    </row>
    <row r="60" spans="2:10" x14ac:dyDescent="0.25">
      <c r="B60">
        <v>50</v>
      </c>
      <c r="C60" s="2">
        <f t="shared" si="4"/>
        <v>44782</v>
      </c>
      <c r="D60" s="4">
        <f t="shared" si="5"/>
        <v>26500</v>
      </c>
      <c r="E60" s="4">
        <f t="shared" si="6"/>
        <v>779718.2257794363</v>
      </c>
      <c r="F60" s="3">
        <f t="shared" si="7"/>
        <v>834279.4038544544</v>
      </c>
      <c r="G60" s="4">
        <f t="shared" si="0"/>
        <v>807779.4038544544</v>
      </c>
      <c r="H60" s="4">
        <f t="shared" si="1"/>
        <v>26500</v>
      </c>
      <c r="I60" s="4">
        <f t="shared" si="2"/>
        <v>-807779.4038544544</v>
      </c>
      <c r="J60" s="1">
        <f t="shared" si="3"/>
        <v>0</v>
      </c>
    </row>
    <row r="61" spans="2:10" x14ac:dyDescent="0.25">
      <c r="B61">
        <v>51</v>
      </c>
      <c r="C61" s="2">
        <f t="shared" si="4"/>
        <v>44812</v>
      </c>
      <c r="D61" s="4">
        <f t="shared" si="5"/>
        <v>26500</v>
      </c>
      <c r="E61" s="4">
        <f t="shared" si="6"/>
        <v>834279.4038544544</v>
      </c>
      <c r="F61" s="3">
        <f t="shared" si="7"/>
        <v>892658.52802141872</v>
      </c>
      <c r="G61" s="4">
        <f t="shared" si="0"/>
        <v>866158.52802141872</v>
      </c>
      <c r="H61" s="4">
        <f t="shared" si="1"/>
        <v>26500</v>
      </c>
      <c r="I61" s="4">
        <f t="shared" si="2"/>
        <v>-866158.52802141872</v>
      </c>
      <c r="J61" s="1">
        <f t="shared" si="3"/>
        <v>0</v>
      </c>
    </row>
    <row r="62" spans="2:10" x14ac:dyDescent="0.25">
      <c r="B62">
        <v>52</v>
      </c>
      <c r="C62" s="2">
        <f t="shared" si="4"/>
        <v>44842</v>
      </c>
      <c r="D62" s="4">
        <f t="shared" si="5"/>
        <v>26500</v>
      </c>
      <c r="E62" s="4">
        <f t="shared" si="6"/>
        <v>892658.52802141872</v>
      </c>
      <c r="F62" s="3">
        <f t="shared" si="7"/>
        <v>955122.76099336613</v>
      </c>
      <c r="G62" s="4">
        <f t="shared" si="0"/>
        <v>928622.76099336613</v>
      </c>
      <c r="H62" s="4">
        <f t="shared" si="1"/>
        <v>26500</v>
      </c>
      <c r="I62" s="4">
        <f t="shared" si="2"/>
        <v>-928622.76099336613</v>
      </c>
      <c r="J62" s="1">
        <f t="shared" si="3"/>
        <v>0</v>
      </c>
    </row>
    <row r="63" spans="2:10" x14ac:dyDescent="0.25">
      <c r="B63">
        <v>53</v>
      </c>
      <c r="C63" s="2">
        <f t="shared" si="4"/>
        <v>44872</v>
      </c>
      <c r="D63" s="4">
        <f t="shared" si="5"/>
        <v>26500</v>
      </c>
      <c r="E63" s="4">
        <f t="shared" si="6"/>
        <v>955122.76099336613</v>
      </c>
      <c r="F63" s="3">
        <f t="shared" si="7"/>
        <v>1021957.9603295985</v>
      </c>
      <c r="G63" s="4">
        <f t="shared" si="0"/>
        <v>995457.96032959851</v>
      </c>
      <c r="H63" s="4">
        <f t="shared" si="1"/>
        <v>26500</v>
      </c>
      <c r="I63" s="4">
        <f t="shared" si="2"/>
        <v>-995457.96032959851</v>
      </c>
      <c r="J63" s="1">
        <f t="shared" si="3"/>
        <v>0</v>
      </c>
    </row>
    <row r="64" spans="2:10" x14ac:dyDescent="0.25">
      <c r="B64">
        <v>54</v>
      </c>
      <c r="C64" s="2">
        <f t="shared" si="4"/>
        <v>44902</v>
      </c>
      <c r="D64" s="4">
        <f t="shared" si="5"/>
        <v>26500</v>
      </c>
      <c r="E64" s="4">
        <f t="shared" si="6"/>
        <v>1021957.9603295985</v>
      </c>
      <c r="F64" s="3">
        <f t="shared" si="7"/>
        <v>1093469.9866170262</v>
      </c>
      <c r="G64" s="4">
        <f t="shared" si="0"/>
        <v>1066969.9866170262</v>
      </c>
      <c r="H64" s="4">
        <f t="shared" si="1"/>
        <v>26500</v>
      </c>
      <c r="I64" s="4">
        <f t="shared" si="2"/>
        <v>-1066969.9866170262</v>
      </c>
      <c r="J64" s="1">
        <f t="shared" si="3"/>
        <v>0</v>
      </c>
    </row>
    <row r="65" spans="2:10" x14ac:dyDescent="0.25">
      <c r="B65">
        <v>55</v>
      </c>
      <c r="C65" s="2">
        <f t="shared" si="4"/>
        <v>44932</v>
      </c>
      <c r="D65" s="4">
        <f t="shared" si="5"/>
        <v>26500</v>
      </c>
      <c r="E65" s="4">
        <f t="shared" si="6"/>
        <v>1093469.9866170262</v>
      </c>
      <c r="F65" s="3">
        <f t="shared" si="7"/>
        <v>1169986.1031921643</v>
      </c>
      <c r="G65" s="4">
        <f t="shared" si="0"/>
        <v>1143486.1031921643</v>
      </c>
      <c r="H65" s="4">
        <f t="shared" si="1"/>
        <v>26500</v>
      </c>
      <c r="I65" s="4">
        <f t="shared" si="2"/>
        <v>-1143486.1031921643</v>
      </c>
      <c r="J65" s="1">
        <f t="shared" si="3"/>
        <v>0</v>
      </c>
    </row>
    <row r="66" spans="2:10" x14ac:dyDescent="0.25">
      <c r="B66">
        <v>56</v>
      </c>
      <c r="C66" s="2">
        <f t="shared" si="4"/>
        <v>44962</v>
      </c>
      <c r="D66" s="4">
        <f t="shared" si="5"/>
        <v>26500</v>
      </c>
      <c r="E66" s="4">
        <f t="shared" si="6"/>
        <v>1169986.1031921643</v>
      </c>
      <c r="F66" s="3">
        <f t="shared" si="7"/>
        <v>1251856.473809385</v>
      </c>
      <c r="G66" s="4">
        <f t="shared" si="0"/>
        <v>1225356.473809385</v>
      </c>
      <c r="H66" s="4">
        <f t="shared" si="1"/>
        <v>26500</v>
      </c>
      <c r="I66" s="4">
        <f t="shared" si="2"/>
        <v>-1225356.473809385</v>
      </c>
      <c r="J66" s="1">
        <f t="shared" si="3"/>
        <v>0</v>
      </c>
    </row>
    <row r="67" spans="2:10" x14ac:dyDescent="0.25">
      <c r="B67">
        <v>57</v>
      </c>
      <c r="C67" s="2">
        <f t="shared" si="4"/>
        <v>44992</v>
      </c>
      <c r="D67" s="4">
        <f t="shared" si="5"/>
        <v>26500</v>
      </c>
      <c r="E67" s="4">
        <f t="shared" si="6"/>
        <v>1251856.473809385</v>
      </c>
      <c r="F67" s="3">
        <f t="shared" si="7"/>
        <v>1339455.7651092645</v>
      </c>
      <c r="G67" s="4">
        <f t="shared" si="0"/>
        <v>1312955.7651092645</v>
      </c>
      <c r="H67" s="4">
        <f t="shared" si="1"/>
        <v>26500</v>
      </c>
      <c r="I67" s="4">
        <f t="shared" si="2"/>
        <v>-1312955.7651092645</v>
      </c>
      <c r="J67" s="1">
        <f t="shared" si="3"/>
        <v>0</v>
      </c>
    </row>
    <row r="68" spans="2:10" x14ac:dyDescent="0.25">
      <c r="B68">
        <v>58</v>
      </c>
      <c r="C68" s="2">
        <f t="shared" si="4"/>
        <v>45022</v>
      </c>
      <c r="D68" s="4">
        <f t="shared" si="5"/>
        <v>26500</v>
      </c>
      <c r="E68" s="4">
        <f t="shared" si="6"/>
        <v>1339455.7651092645</v>
      </c>
      <c r="F68" s="3">
        <f t="shared" si="7"/>
        <v>1433184.861220466</v>
      </c>
      <c r="G68" s="4">
        <f t="shared" si="0"/>
        <v>1406684.861220466</v>
      </c>
      <c r="H68" s="4">
        <f t="shared" si="1"/>
        <v>26500</v>
      </c>
      <c r="I68" s="4">
        <f t="shared" si="2"/>
        <v>-1406684.861220466</v>
      </c>
      <c r="J68" s="1">
        <f t="shared" si="3"/>
        <v>0</v>
      </c>
    </row>
    <row r="69" spans="2:10" x14ac:dyDescent="0.25">
      <c r="B69">
        <v>59</v>
      </c>
      <c r="C69" s="2">
        <f t="shared" si="4"/>
        <v>45052</v>
      </c>
      <c r="D69" s="4">
        <f t="shared" si="5"/>
        <v>26500</v>
      </c>
      <c r="E69" s="4">
        <f t="shared" si="6"/>
        <v>1433184.861220466</v>
      </c>
      <c r="F69" s="3">
        <f t="shared" si="7"/>
        <v>1533472.6983417568</v>
      </c>
      <c r="G69" s="4">
        <f t="shared" si="0"/>
        <v>1506972.6983417568</v>
      </c>
      <c r="H69" s="4">
        <f t="shared" si="1"/>
        <v>26500</v>
      </c>
      <c r="I69" s="4">
        <f t="shared" si="2"/>
        <v>-1506972.6983417568</v>
      </c>
      <c r="J69" s="1">
        <f t="shared" si="3"/>
        <v>0</v>
      </c>
    </row>
    <row r="70" spans="2:10" x14ac:dyDescent="0.25">
      <c r="B70">
        <v>60</v>
      </c>
      <c r="C70" s="2">
        <f t="shared" si="4"/>
        <v>45082</v>
      </c>
      <c r="D70" s="4">
        <f t="shared" si="5"/>
        <v>26500</v>
      </c>
      <c r="E70" s="4">
        <f t="shared" si="6"/>
        <v>1533472.6983417568</v>
      </c>
      <c r="F70" s="3">
        <f t="shared" si="7"/>
        <v>1640778.2276998339</v>
      </c>
      <c r="G70" s="4">
        <f t="shared" si="0"/>
        <v>1614278.2276998339</v>
      </c>
      <c r="H70" s="4">
        <f t="shared" si="1"/>
        <v>26500</v>
      </c>
      <c r="I70" s="4">
        <f t="shared" si="2"/>
        <v>-1614278.2276998339</v>
      </c>
      <c r="J70" s="1">
        <f t="shared" si="3"/>
        <v>0</v>
      </c>
    </row>
    <row r="71" spans="2:10" x14ac:dyDescent="0.25">
      <c r="B71">
        <v>61</v>
      </c>
      <c r="C71" s="2">
        <f t="shared" si="4"/>
        <v>45112</v>
      </c>
      <c r="D71" s="4">
        <f t="shared" si="5"/>
        <v>26500</v>
      </c>
      <c r="E71" s="4">
        <f t="shared" si="6"/>
        <v>1640778.2276998339</v>
      </c>
      <c r="F71" s="3">
        <f t="shared" si="7"/>
        <v>1755592.5158661171</v>
      </c>
      <c r="G71" s="4">
        <f t="shared" si="0"/>
        <v>1729092.5158661171</v>
      </c>
      <c r="H71" s="4">
        <f t="shared" si="1"/>
        <v>26500</v>
      </c>
      <c r="I71" s="4">
        <f t="shared" si="2"/>
        <v>-1729092.5158661171</v>
      </c>
      <c r="J71" s="1">
        <f t="shared" si="3"/>
        <v>0</v>
      </c>
    </row>
    <row r="72" spans="2:10" x14ac:dyDescent="0.25">
      <c r="B72">
        <v>62</v>
      </c>
      <c r="C72" s="2">
        <f t="shared" si="4"/>
        <v>45142</v>
      </c>
      <c r="D72" s="4">
        <f t="shared" si="5"/>
        <v>26500</v>
      </c>
      <c r="E72" s="4">
        <f t="shared" si="6"/>
        <v>1755592.5158661171</v>
      </c>
      <c r="F72" s="3">
        <f t="shared" si="7"/>
        <v>1878440.9920442747</v>
      </c>
      <c r="G72" s="4">
        <f t="shared" si="0"/>
        <v>1851940.9920442747</v>
      </c>
      <c r="H72" s="4">
        <f t="shared" si="1"/>
        <v>26500</v>
      </c>
      <c r="I72" s="4">
        <f t="shared" si="2"/>
        <v>-1851940.9920442747</v>
      </c>
      <c r="J72" s="1">
        <f t="shared" si="3"/>
        <v>0</v>
      </c>
    </row>
    <row r="73" spans="2:10" x14ac:dyDescent="0.25">
      <c r="B73">
        <v>63</v>
      </c>
      <c r="C73" s="2">
        <f t="shared" si="4"/>
        <v>45172</v>
      </c>
      <c r="D73" s="4">
        <f t="shared" si="5"/>
        <v>26500</v>
      </c>
      <c r="E73" s="4">
        <f t="shared" si="6"/>
        <v>1878440.9920442747</v>
      </c>
      <c r="F73" s="3">
        <f t="shared" si="7"/>
        <v>2009885.8526128326</v>
      </c>
      <c r="G73" s="4">
        <f t="shared" si="0"/>
        <v>1983385.8526128326</v>
      </c>
      <c r="H73" s="4">
        <f t="shared" si="1"/>
        <v>26500</v>
      </c>
      <c r="I73" s="4">
        <f t="shared" si="2"/>
        <v>-1983385.8526128326</v>
      </c>
      <c r="J73" s="1">
        <f t="shared" si="3"/>
        <v>0</v>
      </c>
    </row>
    <row r="74" spans="2:10" x14ac:dyDescent="0.25">
      <c r="B74">
        <v>64</v>
      </c>
      <c r="C74" s="2">
        <f t="shared" si="4"/>
        <v>45202</v>
      </c>
      <c r="D74" s="4">
        <f t="shared" si="5"/>
        <v>26500</v>
      </c>
      <c r="E74" s="4">
        <f t="shared" si="6"/>
        <v>2009885.8526128326</v>
      </c>
      <c r="F74" s="3">
        <f t="shared" si="7"/>
        <v>2150528.6339268726</v>
      </c>
      <c r="G74" s="4">
        <f t="shared" si="0"/>
        <v>2124028.6339268726</v>
      </c>
      <c r="H74" s="4">
        <f t="shared" si="1"/>
        <v>26500</v>
      </c>
      <c r="I74" s="4">
        <f t="shared" si="2"/>
        <v>-2124028.6339268726</v>
      </c>
      <c r="J74" s="1">
        <f t="shared" si="3"/>
        <v>0</v>
      </c>
    </row>
    <row r="75" spans="2:10" x14ac:dyDescent="0.25">
      <c r="B75">
        <v>65</v>
      </c>
      <c r="C75" s="2">
        <f t="shared" si="4"/>
        <v>45232</v>
      </c>
      <c r="D75" s="4">
        <f t="shared" si="5"/>
        <v>26500</v>
      </c>
      <c r="E75" s="4">
        <f t="shared" si="6"/>
        <v>2150528.6339268726</v>
      </c>
      <c r="F75" s="3">
        <f t="shared" si="7"/>
        <v>2301012.9651528313</v>
      </c>
      <c r="G75" s="4">
        <f t="shared" ref="G75:G130" si="8">F75-D75</f>
        <v>2274512.9651528313</v>
      </c>
      <c r="H75" s="4">
        <f t="shared" ref="H75:H130" si="9">D75</f>
        <v>26500</v>
      </c>
      <c r="I75" s="4">
        <f t="shared" ref="I75:I130" si="10">H75-F75</f>
        <v>-2274512.9651528313</v>
      </c>
      <c r="J75" s="1">
        <f t="shared" ref="J75:J130" si="11">(H75-D75)/D75</f>
        <v>0</v>
      </c>
    </row>
    <row r="76" spans="2:10" x14ac:dyDescent="0.25">
      <c r="B76">
        <v>66</v>
      </c>
      <c r="C76" s="2">
        <f t="shared" ref="C76:C130" si="12">C75+30</f>
        <v>45262</v>
      </c>
      <c r="D76" s="4">
        <f t="shared" ref="D76:D131" si="13">H75</f>
        <v>26500</v>
      </c>
      <c r="E76" s="4">
        <f t="shared" ref="E76:E131" si="14">F75</f>
        <v>2301012.9651528313</v>
      </c>
      <c r="F76" s="3">
        <f t="shared" ref="F76:F131" si="15">E76*(1+$C$6)</f>
        <v>2462027.5137343123</v>
      </c>
      <c r="G76" s="4">
        <f t="shared" si="8"/>
        <v>2435527.5137343123</v>
      </c>
      <c r="H76" s="4">
        <f t="shared" si="9"/>
        <v>26500</v>
      </c>
      <c r="I76" s="4">
        <f t="shared" si="10"/>
        <v>-2435527.5137343123</v>
      </c>
      <c r="J76" s="1">
        <f t="shared" si="11"/>
        <v>0</v>
      </c>
    </row>
    <row r="77" spans="2:10" x14ac:dyDescent="0.25">
      <c r="B77">
        <v>67</v>
      </c>
      <c r="C77" s="2">
        <f t="shared" si="12"/>
        <v>45292</v>
      </c>
      <c r="D77" s="4">
        <f t="shared" si="13"/>
        <v>26500</v>
      </c>
      <c r="E77" s="4">
        <f t="shared" si="14"/>
        <v>2462027.5137343123</v>
      </c>
      <c r="F77" s="3">
        <f t="shared" si="15"/>
        <v>2634309.1369683589</v>
      </c>
      <c r="G77" s="4">
        <f t="shared" si="8"/>
        <v>2607809.1369683589</v>
      </c>
      <c r="H77" s="4">
        <f t="shared" si="9"/>
        <v>26500</v>
      </c>
      <c r="I77" s="4">
        <f t="shared" si="10"/>
        <v>-2607809.1369683589</v>
      </c>
      <c r="J77" s="1">
        <f t="shared" si="11"/>
        <v>0</v>
      </c>
    </row>
    <row r="78" spans="2:10" x14ac:dyDescent="0.25">
      <c r="B78">
        <v>68</v>
      </c>
      <c r="C78" s="2">
        <f t="shared" si="12"/>
        <v>45322</v>
      </c>
      <c r="D78" s="4">
        <f t="shared" si="13"/>
        <v>26500</v>
      </c>
      <c r="E78" s="4">
        <f t="shared" si="14"/>
        <v>2634309.1369683589</v>
      </c>
      <c r="F78" s="3">
        <f t="shared" si="15"/>
        <v>2818646.2541148756</v>
      </c>
      <c r="G78" s="4">
        <f t="shared" si="8"/>
        <v>2792146.2541148756</v>
      </c>
      <c r="H78" s="4">
        <f t="shared" si="9"/>
        <v>26500</v>
      </c>
      <c r="I78" s="4">
        <f t="shared" si="10"/>
        <v>-2792146.2541148756</v>
      </c>
      <c r="J78" s="1">
        <f t="shared" si="11"/>
        <v>0</v>
      </c>
    </row>
    <row r="79" spans="2:10" x14ac:dyDescent="0.25">
      <c r="B79">
        <v>69</v>
      </c>
      <c r="C79" s="2">
        <f t="shared" si="12"/>
        <v>45352</v>
      </c>
      <c r="D79" s="4">
        <f t="shared" si="13"/>
        <v>26500</v>
      </c>
      <c r="E79" s="4">
        <f t="shared" si="14"/>
        <v>2818646.2541148756</v>
      </c>
      <c r="F79" s="3">
        <f t="shared" si="15"/>
        <v>3015882.454471115</v>
      </c>
      <c r="G79" s="4">
        <f t="shared" si="8"/>
        <v>2989382.454471115</v>
      </c>
      <c r="H79" s="4">
        <f t="shared" si="9"/>
        <v>26500</v>
      </c>
      <c r="I79" s="4">
        <f t="shared" si="10"/>
        <v>-2989382.454471115</v>
      </c>
      <c r="J79" s="1">
        <f t="shared" si="11"/>
        <v>0</v>
      </c>
    </row>
    <row r="80" spans="2:10" x14ac:dyDescent="0.25">
      <c r="B80">
        <v>70</v>
      </c>
      <c r="C80" s="2">
        <f t="shared" si="12"/>
        <v>45382</v>
      </c>
      <c r="D80" s="4">
        <f t="shared" si="13"/>
        <v>26500</v>
      </c>
      <c r="E80" s="4">
        <f t="shared" si="14"/>
        <v>3015882.454471115</v>
      </c>
      <c r="F80" s="3">
        <f t="shared" si="15"/>
        <v>3226920.3579230071</v>
      </c>
      <c r="G80" s="4">
        <f t="shared" si="8"/>
        <v>3200420.3579230071</v>
      </c>
      <c r="H80" s="4">
        <f t="shared" si="9"/>
        <v>26500</v>
      </c>
      <c r="I80" s="4">
        <f t="shared" si="10"/>
        <v>-3200420.3579230071</v>
      </c>
      <c r="J80" s="1">
        <f t="shared" si="11"/>
        <v>0</v>
      </c>
    </row>
    <row r="81" spans="2:10" x14ac:dyDescent="0.25">
      <c r="B81">
        <v>71</v>
      </c>
      <c r="C81" s="2">
        <f t="shared" si="12"/>
        <v>45412</v>
      </c>
      <c r="D81" s="4">
        <f t="shared" si="13"/>
        <v>26500</v>
      </c>
      <c r="E81" s="4">
        <f t="shared" si="14"/>
        <v>3226920.3579230071</v>
      </c>
      <c r="F81" s="3">
        <f t="shared" si="15"/>
        <v>3452725.7456405219</v>
      </c>
      <c r="G81" s="4">
        <f t="shared" si="8"/>
        <v>3426225.7456405219</v>
      </c>
      <c r="H81" s="4">
        <f t="shared" si="9"/>
        <v>26500</v>
      </c>
      <c r="I81" s="4">
        <f t="shared" si="10"/>
        <v>-3426225.7456405219</v>
      </c>
      <c r="J81" s="1">
        <f t="shared" si="11"/>
        <v>0</v>
      </c>
    </row>
    <row r="82" spans="2:10" x14ac:dyDescent="0.25">
      <c r="B82">
        <v>72</v>
      </c>
      <c r="C82" s="2">
        <f t="shared" si="12"/>
        <v>45442</v>
      </c>
      <c r="D82" s="4">
        <f t="shared" si="13"/>
        <v>26500</v>
      </c>
      <c r="E82" s="4">
        <f t="shared" si="14"/>
        <v>3452725.7456405219</v>
      </c>
      <c r="F82" s="3">
        <f t="shared" si="15"/>
        <v>3694331.9798205369</v>
      </c>
      <c r="G82" s="4">
        <f t="shared" si="8"/>
        <v>3667831.9798205369</v>
      </c>
      <c r="H82" s="4">
        <f t="shared" si="9"/>
        <v>26500</v>
      </c>
      <c r="I82" s="4">
        <f t="shared" si="10"/>
        <v>-3667831.9798205369</v>
      </c>
      <c r="J82" s="1">
        <f t="shared" si="11"/>
        <v>0</v>
      </c>
    </row>
    <row r="83" spans="2:10" x14ac:dyDescent="0.25">
      <c r="B83">
        <v>73</v>
      </c>
      <c r="C83" s="2">
        <f t="shared" si="12"/>
        <v>45472</v>
      </c>
      <c r="D83" s="4">
        <f t="shared" si="13"/>
        <v>26500</v>
      </c>
      <c r="E83" s="4">
        <f t="shared" si="14"/>
        <v>3694331.9798205369</v>
      </c>
      <c r="F83" s="3">
        <f t="shared" si="15"/>
        <v>3952844.7327034497</v>
      </c>
      <c r="G83" s="4">
        <f t="shared" si="8"/>
        <v>3926344.7327034497</v>
      </c>
      <c r="H83" s="4">
        <f t="shared" si="9"/>
        <v>26500</v>
      </c>
      <c r="I83" s="4">
        <f t="shared" si="10"/>
        <v>-3926344.7327034497</v>
      </c>
      <c r="J83" s="1">
        <f t="shared" si="11"/>
        <v>0</v>
      </c>
    </row>
    <row r="84" spans="2:10" x14ac:dyDescent="0.25">
      <c r="B84">
        <v>74</v>
      </c>
      <c r="C84" s="2">
        <f t="shared" si="12"/>
        <v>45502</v>
      </c>
      <c r="D84" s="4">
        <f t="shared" si="13"/>
        <v>26500</v>
      </c>
      <c r="E84" s="4">
        <f t="shared" si="14"/>
        <v>3952844.7327034497</v>
      </c>
      <c r="F84" s="3">
        <f t="shared" si="15"/>
        <v>4229447.0465051262</v>
      </c>
      <c r="G84" s="4">
        <f t="shared" si="8"/>
        <v>4202947.0465051262</v>
      </c>
      <c r="H84" s="4">
        <f t="shared" si="9"/>
        <v>26500</v>
      </c>
      <c r="I84" s="4">
        <f t="shared" si="10"/>
        <v>-4202947.0465051262</v>
      </c>
      <c r="J84" s="1">
        <f t="shared" si="11"/>
        <v>0</v>
      </c>
    </row>
    <row r="85" spans="2:10" x14ac:dyDescent="0.25">
      <c r="B85">
        <v>75</v>
      </c>
      <c r="C85" s="2">
        <f t="shared" si="12"/>
        <v>45532</v>
      </c>
      <c r="D85" s="4">
        <f t="shared" si="13"/>
        <v>26500</v>
      </c>
      <c r="E85" s="4">
        <f t="shared" si="14"/>
        <v>4229447.0465051262</v>
      </c>
      <c r="F85" s="3">
        <f t="shared" si="15"/>
        <v>4525404.7474201526</v>
      </c>
      <c r="G85" s="4">
        <f t="shared" si="8"/>
        <v>4498904.7474201526</v>
      </c>
      <c r="H85" s="4">
        <f t="shared" si="9"/>
        <v>26500</v>
      </c>
      <c r="I85" s="4">
        <f t="shared" si="10"/>
        <v>-4498904.7474201526</v>
      </c>
      <c r="J85" s="1">
        <f t="shared" si="11"/>
        <v>0</v>
      </c>
    </row>
    <row r="86" spans="2:10" x14ac:dyDescent="0.25">
      <c r="B86">
        <v>76</v>
      </c>
      <c r="C86" s="2">
        <f t="shared" si="12"/>
        <v>45562</v>
      </c>
      <c r="D86" s="4">
        <f t="shared" si="13"/>
        <v>26500</v>
      </c>
      <c r="E86" s="4">
        <f t="shared" si="14"/>
        <v>4525404.7474201526</v>
      </c>
      <c r="F86" s="3">
        <f t="shared" si="15"/>
        <v>4842072.2384727076</v>
      </c>
      <c r="G86" s="4">
        <f t="shared" si="8"/>
        <v>4815572.2384727076</v>
      </c>
      <c r="H86" s="4">
        <f t="shared" si="9"/>
        <v>26500</v>
      </c>
      <c r="I86" s="4">
        <f t="shared" si="10"/>
        <v>-4815572.2384727076</v>
      </c>
      <c r="J86" s="1">
        <f t="shared" si="11"/>
        <v>0</v>
      </c>
    </row>
    <row r="87" spans="2:10" x14ac:dyDescent="0.25">
      <c r="B87">
        <v>77</v>
      </c>
      <c r="C87" s="2">
        <f t="shared" si="12"/>
        <v>45592</v>
      </c>
      <c r="D87" s="4">
        <f t="shared" si="13"/>
        <v>26500</v>
      </c>
      <c r="E87" s="4">
        <f t="shared" si="14"/>
        <v>4842072.2384727076</v>
      </c>
      <c r="F87" s="3">
        <f t="shared" si="15"/>
        <v>5180898.6977251088</v>
      </c>
      <c r="G87" s="4">
        <f t="shared" si="8"/>
        <v>5154398.6977251088</v>
      </c>
      <c r="H87" s="4">
        <f t="shared" si="9"/>
        <v>26500</v>
      </c>
      <c r="I87" s="4">
        <f t="shared" si="10"/>
        <v>-5154398.6977251088</v>
      </c>
      <c r="J87" s="1">
        <f t="shared" si="11"/>
        <v>0</v>
      </c>
    </row>
    <row r="88" spans="2:10" x14ac:dyDescent="0.25">
      <c r="B88">
        <v>78</v>
      </c>
      <c r="C88" s="2">
        <f t="shared" si="12"/>
        <v>45622</v>
      </c>
      <c r="D88" s="4">
        <f t="shared" si="13"/>
        <v>26500</v>
      </c>
      <c r="E88" s="4">
        <f t="shared" si="14"/>
        <v>5180898.6977251088</v>
      </c>
      <c r="F88" s="3">
        <f t="shared" si="15"/>
        <v>5543434.7102091517</v>
      </c>
      <c r="G88" s="4">
        <f t="shared" si="8"/>
        <v>5516934.7102091517</v>
      </c>
      <c r="H88" s="4">
        <f t="shared" si="9"/>
        <v>26500</v>
      </c>
      <c r="I88" s="4">
        <f t="shared" si="10"/>
        <v>-5516934.7102091517</v>
      </c>
      <c r="J88" s="1">
        <f t="shared" si="11"/>
        <v>0</v>
      </c>
    </row>
    <row r="89" spans="2:10" x14ac:dyDescent="0.25">
      <c r="B89">
        <v>79</v>
      </c>
      <c r="C89" s="2">
        <f t="shared" si="12"/>
        <v>45652</v>
      </c>
      <c r="D89" s="4">
        <f t="shared" si="13"/>
        <v>26500</v>
      </c>
      <c r="E89" s="4">
        <f t="shared" si="14"/>
        <v>5543434.7102091517</v>
      </c>
      <c r="F89" s="3">
        <f t="shared" si="15"/>
        <v>5931339.3639301946</v>
      </c>
      <c r="G89" s="4">
        <f t="shared" si="8"/>
        <v>5904839.3639301946</v>
      </c>
      <c r="H89" s="4">
        <f t="shared" si="9"/>
        <v>26500</v>
      </c>
      <c r="I89" s="4">
        <f t="shared" si="10"/>
        <v>-5904839.3639301946</v>
      </c>
      <c r="J89" s="1">
        <f t="shared" si="11"/>
        <v>0</v>
      </c>
    </row>
    <row r="90" spans="2:10" x14ac:dyDescent="0.25">
      <c r="B90">
        <v>80</v>
      </c>
      <c r="C90" s="2">
        <f t="shared" si="12"/>
        <v>45682</v>
      </c>
      <c r="D90" s="4">
        <f t="shared" si="13"/>
        <v>26500</v>
      </c>
      <c r="E90" s="4">
        <f t="shared" si="14"/>
        <v>5931339.3639301946</v>
      </c>
      <c r="F90" s="3">
        <f t="shared" si="15"/>
        <v>6346387.8424177356</v>
      </c>
      <c r="G90" s="4">
        <f t="shared" si="8"/>
        <v>6319887.8424177356</v>
      </c>
      <c r="H90" s="4">
        <f t="shared" si="9"/>
        <v>26500</v>
      </c>
      <c r="I90" s="4">
        <f t="shared" si="10"/>
        <v>-6319887.8424177356</v>
      </c>
      <c r="J90" s="1">
        <f t="shared" si="11"/>
        <v>0</v>
      </c>
    </row>
    <row r="91" spans="2:10" x14ac:dyDescent="0.25">
      <c r="B91">
        <v>81</v>
      </c>
      <c r="C91" s="2">
        <f t="shared" si="12"/>
        <v>45712</v>
      </c>
      <c r="D91" s="4">
        <f t="shared" si="13"/>
        <v>26500</v>
      </c>
      <c r="E91" s="4">
        <f t="shared" si="14"/>
        <v>6346387.8424177356</v>
      </c>
      <c r="F91" s="3">
        <f t="shared" si="15"/>
        <v>6790479.5485685607</v>
      </c>
      <c r="G91" s="4">
        <f t="shared" si="8"/>
        <v>6763979.5485685607</v>
      </c>
      <c r="H91" s="4">
        <f t="shared" si="9"/>
        <v>26500</v>
      </c>
      <c r="I91" s="4">
        <f t="shared" si="10"/>
        <v>-6763979.5485685607</v>
      </c>
      <c r="J91" s="1">
        <f t="shared" si="11"/>
        <v>0</v>
      </c>
    </row>
    <row r="92" spans="2:10" x14ac:dyDescent="0.25">
      <c r="B92">
        <v>82</v>
      </c>
      <c r="C92" s="2">
        <f t="shared" si="12"/>
        <v>45742</v>
      </c>
      <c r="D92" s="4">
        <f t="shared" si="13"/>
        <v>26500</v>
      </c>
      <c r="E92" s="4">
        <f t="shared" si="14"/>
        <v>6790479.5485685607</v>
      </c>
      <c r="F92" s="3">
        <f t="shared" si="15"/>
        <v>7265646.7969599338</v>
      </c>
      <c r="G92" s="4">
        <f t="shared" si="8"/>
        <v>7239146.7969599338</v>
      </c>
      <c r="H92" s="4">
        <f t="shared" si="9"/>
        <v>26500</v>
      </c>
      <c r="I92" s="4">
        <f t="shared" si="10"/>
        <v>-7239146.7969599338</v>
      </c>
      <c r="J92" s="1">
        <f t="shared" si="11"/>
        <v>0</v>
      </c>
    </row>
    <row r="93" spans="2:10" x14ac:dyDescent="0.25">
      <c r="B93">
        <v>83</v>
      </c>
      <c r="C93" s="2">
        <f t="shared" si="12"/>
        <v>45772</v>
      </c>
      <c r="D93" s="4">
        <f t="shared" si="13"/>
        <v>26500</v>
      </c>
      <c r="E93" s="4">
        <f t="shared" si="14"/>
        <v>7265646.7969599338</v>
      </c>
      <c r="F93" s="3">
        <f t="shared" si="15"/>
        <v>7774064.1144118086</v>
      </c>
      <c r="G93" s="4">
        <f t="shared" si="8"/>
        <v>7747564.1144118086</v>
      </c>
      <c r="H93" s="4">
        <f t="shared" si="9"/>
        <v>26500</v>
      </c>
      <c r="I93" s="4">
        <f t="shared" si="10"/>
        <v>-7747564.1144118086</v>
      </c>
      <c r="J93" s="1">
        <f t="shared" si="11"/>
        <v>0</v>
      </c>
    </row>
    <row r="94" spans="2:10" x14ac:dyDescent="0.25">
      <c r="B94">
        <v>84</v>
      </c>
      <c r="C94" s="2">
        <f t="shared" si="12"/>
        <v>45802</v>
      </c>
      <c r="D94" s="4">
        <f t="shared" si="13"/>
        <v>26500</v>
      </c>
      <c r="E94" s="4">
        <f t="shared" si="14"/>
        <v>7774064.1144118086</v>
      </c>
      <c r="F94" s="3">
        <f t="shared" si="15"/>
        <v>8318058.1913605966</v>
      </c>
      <c r="G94" s="4">
        <f t="shared" si="8"/>
        <v>8291558.1913605966</v>
      </c>
      <c r="H94" s="4">
        <f t="shared" si="9"/>
        <v>26500</v>
      </c>
      <c r="I94" s="4">
        <f t="shared" si="10"/>
        <v>-8291558.1913605966</v>
      </c>
      <c r="J94" s="1">
        <f t="shared" si="11"/>
        <v>0</v>
      </c>
    </row>
    <row r="95" spans="2:10" x14ac:dyDescent="0.25">
      <c r="B95">
        <v>85</v>
      </c>
      <c r="C95" s="2">
        <f t="shared" si="12"/>
        <v>45832</v>
      </c>
      <c r="D95" s="4">
        <f t="shared" si="13"/>
        <v>26500</v>
      </c>
      <c r="E95" s="4">
        <f t="shared" si="14"/>
        <v>8318058.1913605966</v>
      </c>
      <c r="F95" s="3">
        <f t="shared" si="15"/>
        <v>8900118.5295853578</v>
      </c>
      <c r="G95" s="4">
        <f t="shared" si="8"/>
        <v>8873618.5295853578</v>
      </c>
      <c r="H95" s="4">
        <f t="shared" si="9"/>
        <v>26500</v>
      </c>
      <c r="I95" s="4">
        <f t="shared" si="10"/>
        <v>-8873618.5295853578</v>
      </c>
      <c r="J95" s="1">
        <f t="shared" si="11"/>
        <v>0</v>
      </c>
    </row>
    <row r="96" spans="2:10" x14ac:dyDescent="0.25">
      <c r="B96">
        <v>86</v>
      </c>
      <c r="C96" s="2">
        <f t="shared" si="12"/>
        <v>45862</v>
      </c>
      <c r="D96" s="4">
        <f t="shared" si="13"/>
        <v>26500</v>
      </c>
      <c r="E96" s="4">
        <f t="shared" si="14"/>
        <v>8900118.5295853578</v>
      </c>
      <c r="F96" s="3">
        <f t="shared" si="15"/>
        <v>9522908.8350140266</v>
      </c>
      <c r="G96" s="4">
        <f t="shared" si="8"/>
        <v>9496408.8350140266</v>
      </c>
      <c r="H96" s="4">
        <f t="shared" si="9"/>
        <v>26500</v>
      </c>
      <c r="I96" s="4">
        <f t="shared" si="10"/>
        <v>-9496408.8350140266</v>
      </c>
      <c r="J96" s="1">
        <f t="shared" si="11"/>
        <v>0</v>
      </c>
    </row>
    <row r="97" spans="2:10" x14ac:dyDescent="0.25">
      <c r="B97">
        <v>87</v>
      </c>
      <c r="C97" s="2">
        <f t="shared" si="12"/>
        <v>45892</v>
      </c>
      <c r="D97" s="4">
        <f t="shared" si="13"/>
        <v>26500</v>
      </c>
      <c r="E97" s="4">
        <f t="shared" si="14"/>
        <v>9522908.8350140266</v>
      </c>
      <c r="F97" s="3">
        <f t="shared" si="15"/>
        <v>10189279.207747037</v>
      </c>
      <c r="G97" s="4">
        <f t="shared" si="8"/>
        <v>10162779.207747037</v>
      </c>
      <c r="H97" s="4">
        <f t="shared" si="9"/>
        <v>26500</v>
      </c>
      <c r="I97" s="4">
        <f t="shared" si="10"/>
        <v>-10162779.207747037</v>
      </c>
      <c r="J97" s="1">
        <f t="shared" si="11"/>
        <v>0</v>
      </c>
    </row>
    <row r="98" spans="2:10" x14ac:dyDescent="0.25">
      <c r="B98">
        <v>88</v>
      </c>
      <c r="C98" s="2">
        <f t="shared" si="12"/>
        <v>45922</v>
      </c>
      <c r="D98" s="4">
        <f t="shared" si="13"/>
        <v>26500</v>
      </c>
      <c r="E98" s="4">
        <f t="shared" si="14"/>
        <v>10189279.207747037</v>
      </c>
      <c r="F98" s="3">
        <f t="shared" si="15"/>
        <v>10902279.185084013</v>
      </c>
      <c r="G98" s="4">
        <f t="shared" si="8"/>
        <v>10875779.185084013</v>
      </c>
      <c r="H98" s="4">
        <f t="shared" si="9"/>
        <v>26500</v>
      </c>
      <c r="I98" s="4">
        <f t="shared" si="10"/>
        <v>-10875779.185084013</v>
      </c>
      <c r="J98" s="1">
        <f t="shared" si="11"/>
        <v>0</v>
      </c>
    </row>
    <row r="99" spans="2:10" x14ac:dyDescent="0.25">
      <c r="B99">
        <v>89</v>
      </c>
      <c r="C99" s="2">
        <f t="shared" si="12"/>
        <v>45952</v>
      </c>
      <c r="D99" s="4">
        <f t="shared" si="13"/>
        <v>26500</v>
      </c>
      <c r="E99" s="4">
        <f t="shared" si="14"/>
        <v>10902279.185084013</v>
      </c>
      <c r="F99" s="3">
        <f t="shared" si="15"/>
        <v>11665171.697242886</v>
      </c>
      <c r="G99" s="4">
        <f t="shared" si="8"/>
        <v>11638671.697242886</v>
      </c>
      <c r="H99" s="4">
        <f t="shared" si="9"/>
        <v>26500</v>
      </c>
      <c r="I99" s="4">
        <f t="shared" si="10"/>
        <v>-11638671.697242886</v>
      </c>
      <c r="J99" s="1">
        <f t="shared" si="11"/>
        <v>0</v>
      </c>
    </row>
    <row r="100" spans="2:10" x14ac:dyDescent="0.25">
      <c r="B100">
        <v>90</v>
      </c>
      <c r="C100" s="2">
        <f t="shared" si="12"/>
        <v>45982</v>
      </c>
      <c r="D100" s="4">
        <f t="shared" si="13"/>
        <v>26500</v>
      </c>
      <c r="E100" s="4">
        <f t="shared" si="14"/>
        <v>11665171.697242886</v>
      </c>
      <c r="F100" s="3">
        <f t="shared" si="15"/>
        <v>12481447.999637505</v>
      </c>
      <c r="G100" s="4">
        <f t="shared" si="8"/>
        <v>12454947.999637505</v>
      </c>
      <c r="H100" s="4">
        <f t="shared" si="9"/>
        <v>26500</v>
      </c>
      <c r="I100" s="4">
        <f t="shared" si="10"/>
        <v>-12454947.999637505</v>
      </c>
      <c r="J100" s="1">
        <f t="shared" si="11"/>
        <v>0</v>
      </c>
    </row>
    <row r="101" spans="2:10" x14ac:dyDescent="0.25">
      <c r="B101">
        <v>91</v>
      </c>
      <c r="C101" s="2">
        <f t="shared" si="12"/>
        <v>46012</v>
      </c>
      <c r="D101" s="4">
        <f t="shared" si="13"/>
        <v>26500</v>
      </c>
      <c r="E101" s="4">
        <f t="shared" si="14"/>
        <v>12481447.999637505</v>
      </c>
      <c r="F101" s="3">
        <f t="shared" si="15"/>
        <v>13354843.650048966</v>
      </c>
      <c r="G101" s="4">
        <f t="shared" si="8"/>
        <v>13328343.650048966</v>
      </c>
      <c r="H101" s="4">
        <f t="shared" si="9"/>
        <v>26500</v>
      </c>
      <c r="I101" s="4">
        <f t="shared" si="10"/>
        <v>-13328343.650048966</v>
      </c>
      <c r="J101" s="1">
        <f t="shared" si="11"/>
        <v>0</v>
      </c>
    </row>
    <row r="102" spans="2:10" x14ac:dyDescent="0.25">
      <c r="B102">
        <v>92</v>
      </c>
      <c r="C102" s="2">
        <f t="shared" si="12"/>
        <v>46042</v>
      </c>
      <c r="D102" s="4">
        <f t="shared" si="13"/>
        <v>26500</v>
      </c>
      <c r="E102" s="4">
        <f t="shared" si="14"/>
        <v>13354843.650048966</v>
      </c>
      <c r="F102" s="3">
        <f t="shared" si="15"/>
        <v>14289355.603807587</v>
      </c>
      <c r="G102" s="4">
        <f t="shared" si="8"/>
        <v>14262855.603807587</v>
      </c>
      <c r="H102" s="4">
        <f t="shared" si="9"/>
        <v>26500</v>
      </c>
      <c r="I102" s="4">
        <f t="shared" si="10"/>
        <v>-14262855.603807587</v>
      </c>
      <c r="J102" s="1">
        <f t="shared" si="11"/>
        <v>0</v>
      </c>
    </row>
    <row r="103" spans="2:10" x14ac:dyDescent="0.25">
      <c r="B103">
        <v>93</v>
      </c>
      <c r="C103" s="2">
        <f t="shared" si="12"/>
        <v>46072</v>
      </c>
      <c r="D103" s="4">
        <f t="shared" si="13"/>
        <v>26500</v>
      </c>
      <c r="E103" s="4">
        <f t="shared" si="14"/>
        <v>14289355.603807587</v>
      </c>
      <c r="F103" s="3">
        <f t="shared" si="15"/>
        <v>15289260.505218918</v>
      </c>
      <c r="G103" s="4">
        <f t="shared" si="8"/>
        <v>15262760.505218918</v>
      </c>
      <c r="H103" s="4">
        <f t="shared" si="9"/>
        <v>26500</v>
      </c>
      <c r="I103" s="4">
        <f t="shared" si="10"/>
        <v>-15262760.505218918</v>
      </c>
      <c r="J103" s="1">
        <f t="shared" si="11"/>
        <v>0</v>
      </c>
    </row>
    <row r="104" spans="2:10" x14ac:dyDescent="0.25">
      <c r="B104">
        <v>94</v>
      </c>
      <c r="C104" s="2">
        <f t="shared" si="12"/>
        <v>46102</v>
      </c>
      <c r="D104" s="4">
        <f t="shared" si="13"/>
        <v>26500</v>
      </c>
      <c r="E104" s="4">
        <f t="shared" si="14"/>
        <v>15289260.505218918</v>
      </c>
      <c r="F104" s="3">
        <f t="shared" si="15"/>
        <v>16359134.258941542</v>
      </c>
      <c r="G104" s="4">
        <f t="shared" si="8"/>
        <v>16332634.258941542</v>
      </c>
      <c r="H104" s="4">
        <f t="shared" si="9"/>
        <v>26500</v>
      </c>
      <c r="I104" s="4">
        <f t="shared" si="10"/>
        <v>-16332634.258941542</v>
      </c>
      <c r="J104" s="1">
        <f t="shared" si="11"/>
        <v>0</v>
      </c>
    </row>
    <row r="105" spans="2:10" x14ac:dyDescent="0.25">
      <c r="B105">
        <v>95</v>
      </c>
      <c r="C105" s="2">
        <f t="shared" si="12"/>
        <v>46132</v>
      </c>
      <c r="D105" s="4">
        <f t="shared" si="13"/>
        <v>26500</v>
      </c>
      <c r="E105" s="4">
        <f t="shared" si="14"/>
        <v>16359134.258941542</v>
      </c>
      <c r="F105" s="3">
        <f t="shared" si="15"/>
        <v>17503872.970881984</v>
      </c>
      <c r="G105" s="4">
        <f t="shared" si="8"/>
        <v>17477372.970881984</v>
      </c>
      <c r="H105" s="4">
        <f t="shared" si="9"/>
        <v>26500</v>
      </c>
      <c r="I105" s="4">
        <f t="shared" si="10"/>
        <v>-17477372.970881984</v>
      </c>
      <c r="J105" s="1">
        <f t="shared" si="11"/>
        <v>0</v>
      </c>
    </row>
    <row r="106" spans="2:10" x14ac:dyDescent="0.25">
      <c r="B106">
        <v>96</v>
      </c>
      <c r="C106" s="2">
        <f t="shared" si="12"/>
        <v>46162</v>
      </c>
      <c r="D106" s="4">
        <f t="shared" si="13"/>
        <v>26500</v>
      </c>
      <c r="E106" s="4">
        <f t="shared" si="14"/>
        <v>17503872.970881984</v>
      </c>
      <c r="F106" s="3">
        <f t="shared" si="15"/>
        <v>18728715.354439329</v>
      </c>
      <c r="G106" s="4">
        <f t="shared" si="8"/>
        <v>18702215.354439329</v>
      </c>
      <c r="H106" s="4">
        <f t="shared" si="9"/>
        <v>26500</v>
      </c>
      <c r="I106" s="4">
        <f t="shared" si="10"/>
        <v>-18702215.354439329</v>
      </c>
      <c r="J106" s="1">
        <f t="shared" si="11"/>
        <v>0</v>
      </c>
    </row>
    <row r="107" spans="2:10" x14ac:dyDescent="0.25">
      <c r="B107">
        <v>97</v>
      </c>
      <c r="C107" s="2">
        <f t="shared" si="12"/>
        <v>46192</v>
      </c>
      <c r="D107" s="4">
        <f t="shared" si="13"/>
        <v>26500</v>
      </c>
      <c r="E107" s="4">
        <f t="shared" si="14"/>
        <v>18728715.354439329</v>
      </c>
      <c r="F107" s="3">
        <f t="shared" si="15"/>
        <v>20039266.704638179</v>
      </c>
      <c r="G107" s="4">
        <f t="shared" si="8"/>
        <v>20012766.704638179</v>
      </c>
      <c r="H107" s="4">
        <f t="shared" si="9"/>
        <v>26500</v>
      </c>
      <c r="I107" s="4">
        <f t="shared" si="10"/>
        <v>-20012766.704638179</v>
      </c>
      <c r="J107" s="1">
        <f t="shared" si="11"/>
        <v>0</v>
      </c>
    </row>
    <row r="108" spans="2:10" x14ac:dyDescent="0.25">
      <c r="B108">
        <v>98</v>
      </c>
      <c r="C108" s="2">
        <f t="shared" si="12"/>
        <v>46222</v>
      </c>
      <c r="D108" s="4">
        <f t="shared" si="13"/>
        <v>26500</v>
      </c>
      <c r="E108" s="4">
        <f t="shared" si="14"/>
        <v>20039266.704638179</v>
      </c>
      <c r="F108" s="3">
        <f t="shared" si="15"/>
        <v>21441524.549863711</v>
      </c>
      <c r="G108" s="4">
        <f t="shared" si="8"/>
        <v>21415024.549863711</v>
      </c>
      <c r="H108" s="4">
        <f t="shared" si="9"/>
        <v>26500</v>
      </c>
      <c r="I108" s="4">
        <f t="shared" si="10"/>
        <v>-21415024.549863711</v>
      </c>
      <c r="J108" s="1">
        <f t="shared" si="11"/>
        <v>0</v>
      </c>
    </row>
    <row r="109" spans="2:10" x14ac:dyDescent="0.25">
      <c r="B109">
        <v>99</v>
      </c>
      <c r="C109" s="2">
        <f t="shared" si="12"/>
        <v>46252</v>
      </c>
      <c r="D109" s="4">
        <f t="shared" si="13"/>
        <v>26500</v>
      </c>
      <c r="E109" s="4">
        <f t="shared" si="14"/>
        <v>21441524.549863711</v>
      </c>
      <c r="F109" s="3">
        <f t="shared" si="15"/>
        <v>22941906.098589901</v>
      </c>
      <c r="G109" s="4">
        <f t="shared" si="8"/>
        <v>22915406.098589901</v>
      </c>
      <c r="H109" s="4">
        <f t="shared" si="9"/>
        <v>26500</v>
      </c>
      <c r="I109" s="4">
        <f t="shared" si="10"/>
        <v>-22915406.098589901</v>
      </c>
      <c r="J109" s="1">
        <f t="shared" si="11"/>
        <v>0</v>
      </c>
    </row>
    <row r="110" spans="2:10" x14ac:dyDescent="0.25">
      <c r="B110">
        <v>100</v>
      </c>
      <c r="C110" s="2">
        <f t="shared" si="12"/>
        <v>46282</v>
      </c>
      <c r="D110" s="4">
        <f t="shared" si="13"/>
        <v>26500</v>
      </c>
      <c r="E110" s="4">
        <f t="shared" si="14"/>
        <v>22941906.098589901</v>
      </c>
      <c r="F110" s="3">
        <f t="shared" si="15"/>
        <v>24547277.60670647</v>
      </c>
      <c r="G110" s="4">
        <f t="shared" si="8"/>
        <v>24520777.60670647</v>
      </c>
      <c r="H110" s="4">
        <f t="shared" si="9"/>
        <v>26500</v>
      </c>
      <c r="I110" s="4">
        <f t="shared" si="10"/>
        <v>-24520777.60670647</v>
      </c>
      <c r="J110" s="1">
        <f t="shared" si="11"/>
        <v>0</v>
      </c>
    </row>
    <row r="111" spans="2:10" x14ac:dyDescent="0.25">
      <c r="B111">
        <v>101</v>
      </c>
      <c r="C111" s="2">
        <f t="shared" si="12"/>
        <v>46312</v>
      </c>
      <c r="D111" s="4">
        <f t="shared" si="13"/>
        <v>26500</v>
      </c>
      <c r="E111" s="4">
        <f t="shared" si="14"/>
        <v>24547277.60670647</v>
      </c>
      <c r="F111" s="3">
        <f t="shared" si="15"/>
        <v>26264985.799839411</v>
      </c>
      <c r="G111" s="4">
        <f t="shared" si="8"/>
        <v>26238485.799839411</v>
      </c>
      <c r="H111" s="4">
        <f t="shared" si="9"/>
        <v>26500</v>
      </c>
      <c r="I111" s="4">
        <f t="shared" si="10"/>
        <v>-26238485.799839411</v>
      </c>
      <c r="J111" s="1">
        <f t="shared" si="11"/>
        <v>0</v>
      </c>
    </row>
    <row r="112" spans="2:10" x14ac:dyDescent="0.25">
      <c r="B112">
        <v>102</v>
      </c>
      <c r="C112" s="2">
        <f t="shared" si="12"/>
        <v>46342</v>
      </c>
      <c r="D112" s="4">
        <f t="shared" si="13"/>
        <v>26500</v>
      </c>
      <c r="E112" s="4">
        <f t="shared" si="14"/>
        <v>26264985.799839411</v>
      </c>
      <c r="F112" s="3">
        <f t="shared" si="15"/>
        <v>28102891.494464327</v>
      </c>
      <c r="G112" s="4">
        <f t="shared" si="8"/>
        <v>28076391.494464327</v>
      </c>
      <c r="H112" s="4">
        <f t="shared" si="9"/>
        <v>26500</v>
      </c>
      <c r="I112" s="4">
        <f t="shared" si="10"/>
        <v>-28076391.494464327</v>
      </c>
      <c r="J112" s="1">
        <f t="shared" si="11"/>
        <v>0</v>
      </c>
    </row>
    <row r="113" spans="2:10" x14ac:dyDescent="0.25">
      <c r="B113">
        <v>103</v>
      </c>
      <c r="C113" s="2">
        <f t="shared" si="12"/>
        <v>46372</v>
      </c>
      <c r="D113" s="4">
        <f t="shared" si="13"/>
        <v>26500</v>
      </c>
      <c r="E113" s="4">
        <f t="shared" si="14"/>
        <v>28102891.494464327</v>
      </c>
      <c r="F113" s="3">
        <f t="shared" si="15"/>
        <v>30069405.571674217</v>
      </c>
      <c r="G113" s="4">
        <f t="shared" si="8"/>
        <v>30042905.571674217</v>
      </c>
      <c r="H113" s="4">
        <f t="shared" si="9"/>
        <v>26500</v>
      </c>
      <c r="I113" s="4">
        <f t="shared" si="10"/>
        <v>-30042905.571674217</v>
      </c>
      <c r="J113" s="1">
        <f t="shared" si="11"/>
        <v>0</v>
      </c>
    </row>
    <row r="114" spans="2:10" x14ac:dyDescent="0.25">
      <c r="B114">
        <v>104</v>
      </c>
      <c r="C114" s="2">
        <f t="shared" si="12"/>
        <v>46402</v>
      </c>
      <c r="D114" s="4">
        <f t="shared" si="13"/>
        <v>26500</v>
      </c>
      <c r="E114" s="4">
        <f t="shared" si="14"/>
        <v>30069405.571674217</v>
      </c>
      <c r="F114" s="3">
        <f t="shared" si="15"/>
        <v>32173527.468229901</v>
      </c>
      <c r="G114" s="4">
        <f t="shared" si="8"/>
        <v>32147027.468229901</v>
      </c>
      <c r="H114" s="4">
        <f t="shared" si="9"/>
        <v>26500</v>
      </c>
      <c r="I114" s="4">
        <f t="shared" si="10"/>
        <v>-32147027.468229901</v>
      </c>
      <c r="J114" s="1">
        <f t="shared" si="11"/>
        <v>0</v>
      </c>
    </row>
    <row r="115" spans="2:10" x14ac:dyDescent="0.25">
      <c r="B115">
        <v>105</v>
      </c>
      <c r="C115" s="2">
        <f t="shared" si="12"/>
        <v>46432</v>
      </c>
      <c r="D115" s="4">
        <f t="shared" si="13"/>
        <v>26500</v>
      </c>
      <c r="E115" s="4">
        <f t="shared" si="14"/>
        <v>32173527.468229901</v>
      </c>
      <c r="F115" s="3">
        <f t="shared" si="15"/>
        <v>34424886.361041196</v>
      </c>
      <c r="G115" s="4">
        <f t="shared" si="8"/>
        <v>34398386.361041196</v>
      </c>
      <c r="H115" s="4">
        <f t="shared" si="9"/>
        <v>26500</v>
      </c>
      <c r="I115" s="4">
        <f t="shared" si="10"/>
        <v>-34398386.361041196</v>
      </c>
      <c r="J115" s="1">
        <f t="shared" si="11"/>
        <v>0</v>
      </c>
    </row>
    <row r="116" spans="2:10" x14ac:dyDescent="0.25">
      <c r="B116">
        <v>106</v>
      </c>
      <c r="C116" s="2">
        <f t="shared" si="12"/>
        <v>46462</v>
      </c>
      <c r="D116" s="4">
        <f t="shared" si="13"/>
        <v>26500</v>
      </c>
      <c r="E116" s="4">
        <f t="shared" si="14"/>
        <v>34424886.361041196</v>
      </c>
      <c r="F116" s="3">
        <f t="shared" si="15"/>
        <v>36833785.233553052</v>
      </c>
      <c r="G116" s="4">
        <f t="shared" si="8"/>
        <v>36807285.233553052</v>
      </c>
      <c r="H116" s="4">
        <f t="shared" si="9"/>
        <v>26500</v>
      </c>
      <c r="I116" s="4">
        <f t="shared" si="10"/>
        <v>-36807285.233553052</v>
      </c>
      <c r="J116" s="1">
        <f t="shared" si="11"/>
        <v>0</v>
      </c>
    </row>
    <row r="117" spans="2:10" x14ac:dyDescent="0.25">
      <c r="B117">
        <v>107</v>
      </c>
      <c r="C117" s="2">
        <f t="shared" si="12"/>
        <v>46492</v>
      </c>
      <c r="D117" s="4">
        <f t="shared" si="13"/>
        <v>26500</v>
      </c>
      <c r="E117" s="4">
        <f t="shared" si="14"/>
        <v>36833785.233553052</v>
      </c>
      <c r="F117" s="3">
        <f t="shared" si="15"/>
        <v>39411248.025699399</v>
      </c>
      <c r="G117" s="4">
        <f t="shared" si="8"/>
        <v>39384748.025699399</v>
      </c>
      <c r="H117" s="4">
        <f t="shared" si="9"/>
        <v>26500</v>
      </c>
      <c r="I117" s="4">
        <f t="shared" si="10"/>
        <v>-39384748.025699399</v>
      </c>
      <c r="J117" s="1">
        <f t="shared" si="11"/>
        <v>0</v>
      </c>
    </row>
    <row r="118" spans="2:10" x14ac:dyDescent="0.25">
      <c r="B118">
        <v>108</v>
      </c>
      <c r="C118" s="2">
        <f t="shared" si="12"/>
        <v>46522</v>
      </c>
      <c r="D118" s="4">
        <f t="shared" si="13"/>
        <v>26500</v>
      </c>
      <c r="E118" s="4">
        <f t="shared" si="14"/>
        <v>39411248.025699399</v>
      </c>
      <c r="F118" s="3">
        <f t="shared" si="15"/>
        <v>42169070.083198883</v>
      </c>
      <c r="G118" s="4">
        <f t="shared" si="8"/>
        <v>42142570.083198883</v>
      </c>
      <c r="H118" s="4">
        <f t="shared" si="9"/>
        <v>26500</v>
      </c>
      <c r="I118" s="4">
        <f t="shared" si="10"/>
        <v>-42142570.083198883</v>
      </c>
      <c r="J118" s="1">
        <f t="shared" si="11"/>
        <v>0</v>
      </c>
    </row>
    <row r="119" spans="2:10" x14ac:dyDescent="0.25">
      <c r="B119">
        <v>109</v>
      </c>
      <c r="C119" s="2">
        <f t="shared" si="12"/>
        <v>46552</v>
      </c>
      <c r="D119" s="4">
        <f t="shared" si="13"/>
        <v>26500</v>
      </c>
      <c r="E119" s="4">
        <f t="shared" si="14"/>
        <v>42169070.083198883</v>
      </c>
      <c r="F119" s="3">
        <f t="shared" si="15"/>
        <v>45119872.137065679</v>
      </c>
      <c r="G119" s="4">
        <f t="shared" si="8"/>
        <v>45093372.137065679</v>
      </c>
      <c r="H119" s="4">
        <f t="shared" si="9"/>
        <v>26500</v>
      </c>
      <c r="I119" s="4">
        <f t="shared" si="10"/>
        <v>-45093372.137065679</v>
      </c>
      <c r="J119" s="1">
        <f t="shared" si="11"/>
        <v>0</v>
      </c>
    </row>
    <row r="120" spans="2:10" x14ac:dyDescent="0.25">
      <c r="B120">
        <v>110</v>
      </c>
      <c r="C120" s="2">
        <f t="shared" si="12"/>
        <v>46582</v>
      </c>
      <c r="D120" s="4">
        <f t="shared" si="13"/>
        <v>26500</v>
      </c>
      <c r="E120" s="4">
        <f t="shared" si="14"/>
        <v>45119872.137065679</v>
      </c>
      <c r="F120" s="3">
        <f t="shared" si="15"/>
        <v>48277158.060363911</v>
      </c>
      <c r="G120" s="4">
        <f t="shared" si="8"/>
        <v>48250658.060363911</v>
      </c>
      <c r="H120" s="4">
        <f t="shared" si="9"/>
        <v>26500</v>
      </c>
      <c r="I120" s="4">
        <f t="shared" si="10"/>
        <v>-48250658.060363911</v>
      </c>
      <c r="J120" s="1">
        <f t="shared" si="11"/>
        <v>0</v>
      </c>
    </row>
    <row r="121" spans="2:10" x14ac:dyDescent="0.25">
      <c r="B121">
        <v>111</v>
      </c>
      <c r="C121" s="2">
        <f t="shared" si="12"/>
        <v>46612</v>
      </c>
      <c r="D121" s="4">
        <f t="shared" si="13"/>
        <v>26500</v>
      </c>
      <c r="E121" s="4">
        <f t="shared" si="14"/>
        <v>48277158.060363911</v>
      </c>
      <c r="F121" s="3">
        <f t="shared" si="15"/>
        <v>51655376.666520268</v>
      </c>
      <c r="G121" s="4">
        <f t="shared" si="8"/>
        <v>51628876.666520268</v>
      </c>
      <c r="H121" s="4">
        <f t="shared" si="9"/>
        <v>26500</v>
      </c>
      <c r="I121" s="4">
        <f t="shared" si="10"/>
        <v>-51628876.666520268</v>
      </c>
      <c r="J121" s="1">
        <f t="shared" si="11"/>
        <v>0</v>
      </c>
    </row>
    <row r="122" spans="2:10" x14ac:dyDescent="0.25">
      <c r="B122">
        <v>112</v>
      </c>
      <c r="C122" s="2">
        <f t="shared" si="12"/>
        <v>46642</v>
      </c>
      <c r="D122" s="4">
        <f t="shared" si="13"/>
        <v>26500</v>
      </c>
      <c r="E122" s="4">
        <f t="shared" si="14"/>
        <v>51655376.666520268</v>
      </c>
      <c r="F122" s="3">
        <f t="shared" si="15"/>
        <v>55269987.832004815</v>
      </c>
      <c r="G122" s="4">
        <f t="shared" si="8"/>
        <v>55243487.832004815</v>
      </c>
      <c r="H122" s="4">
        <f t="shared" si="9"/>
        <v>26500</v>
      </c>
      <c r="I122" s="4">
        <f t="shared" si="10"/>
        <v>-55243487.832004815</v>
      </c>
      <c r="J122" s="1">
        <f t="shared" si="11"/>
        <v>0</v>
      </c>
    </row>
    <row r="123" spans="2:10" x14ac:dyDescent="0.25">
      <c r="B123">
        <v>113</v>
      </c>
      <c r="C123" s="2">
        <f t="shared" si="12"/>
        <v>46672</v>
      </c>
      <c r="D123" s="4">
        <f t="shared" si="13"/>
        <v>26500</v>
      </c>
      <c r="E123" s="4">
        <f t="shared" si="14"/>
        <v>55269987.832004815</v>
      </c>
      <c r="F123" s="3">
        <f t="shared" si="15"/>
        <v>59137533.245979965</v>
      </c>
      <c r="G123" s="4">
        <f t="shared" si="8"/>
        <v>59111033.245979965</v>
      </c>
      <c r="H123" s="4">
        <f t="shared" si="9"/>
        <v>26500</v>
      </c>
      <c r="I123" s="4">
        <f t="shared" si="10"/>
        <v>-59111033.245979965</v>
      </c>
      <c r="J123" s="1">
        <f t="shared" si="11"/>
        <v>0</v>
      </c>
    </row>
    <row r="124" spans="2:10" x14ac:dyDescent="0.25">
      <c r="B124">
        <v>114</v>
      </c>
      <c r="C124" s="2">
        <f t="shared" si="12"/>
        <v>46702</v>
      </c>
      <c r="D124" s="4">
        <f t="shared" si="13"/>
        <v>26500</v>
      </c>
      <c r="E124" s="4">
        <f t="shared" si="14"/>
        <v>59137533.245979965</v>
      </c>
      <c r="F124" s="3">
        <f t="shared" si="15"/>
        <v>63275712.110691987</v>
      </c>
      <c r="G124" s="4">
        <f t="shared" si="8"/>
        <v>63249212.110691987</v>
      </c>
      <c r="H124" s="4">
        <f t="shared" si="9"/>
        <v>26500</v>
      </c>
      <c r="I124" s="4">
        <f t="shared" si="10"/>
        <v>-63249212.110691987</v>
      </c>
      <c r="J124" s="1">
        <f t="shared" si="11"/>
        <v>0</v>
      </c>
    </row>
    <row r="125" spans="2:10" x14ac:dyDescent="0.25">
      <c r="B125">
        <v>115</v>
      </c>
      <c r="C125" s="2">
        <f t="shared" si="12"/>
        <v>46732</v>
      </c>
      <c r="D125" s="4">
        <f t="shared" si="13"/>
        <v>26500</v>
      </c>
      <c r="E125" s="4">
        <f t="shared" si="14"/>
        <v>63275712.110691987</v>
      </c>
      <c r="F125" s="3">
        <f t="shared" si="15"/>
        <v>67703462.139035746</v>
      </c>
      <c r="G125" s="4">
        <f t="shared" si="8"/>
        <v>67676962.139035746</v>
      </c>
      <c r="H125" s="4">
        <f t="shared" si="9"/>
        <v>26500</v>
      </c>
      <c r="I125" s="4">
        <f t="shared" si="10"/>
        <v>-67676962.139035746</v>
      </c>
      <c r="J125" s="1">
        <f t="shared" si="11"/>
        <v>0</v>
      </c>
    </row>
    <row r="126" spans="2:10" x14ac:dyDescent="0.25">
      <c r="B126">
        <v>116</v>
      </c>
      <c r="C126" s="2">
        <f t="shared" si="12"/>
        <v>46762</v>
      </c>
      <c r="D126" s="4">
        <f t="shared" si="13"/>
        <v>26500</v>
      </c>
      <c r="E126" s="4">
        <f t="shared" si="14"/>
        <v>67703462.139035746</v>
      </c>
      <c r="F126" s="3">
        <f t="shared" si="15"/>
        <v>72441046.21996516</v>
      </c>
      <c r="G126" s="4">
        <f t="shared" si="8"/>
        <v>72414546.21996516</v>
      </c>
      <c r="H126" s="4">
        <f t="shared" si="9"/>
        <v>26500</v>
      </c>
      <c r="I126" s="4">
        <f t="shared" si="10"/>
        <v>-72414546.21996516</v>
      </c>
      <c r="J126" s="1">
        <f t="shared" si="11"/>
        <v>0</v>
      </c>
    </row>
    <row r="127" spans="2:10" x14ac:dyDescent="0.25">
      <c r="B127">
        <v>117</v>
      </c>
      <c r="C127" s="2">
        <f t="shared" si="12"/>
        <v>46792</v>
      </c>
      <c r="D127" s="4">
        <f t="shared" si="13"/>
        <v>26500</v>
      </c>
      <c r="E127" s="4">
        <f t="shared" si="14"/>
        <v>72441046.21996516</v>
      </c>
      <c r="F127" s="3">
        <f t="shared" si="15"/>
        <v>77510145.148359582</v>
      </c>
      <c r="G127" s="4">
        <f t="shared" si="8"/>
        <v>77483645.148359582</v>
      </c>
      <c r="H127" s="4">
        <f t="shared" si="9"/>
        <v>26500</v>
      </c>
      <c r="I127" s="4">
        <f t="shared" si="10"/>
        <v>-77483645.148359582</v>
      </c>
      <c r="J127" s="1">
        <f t="shared" si="11"/>
        <v>0</v>
      </c>
    </row>
    <row r="128" spans="2:10" x14ac:dyDescent="0.25">
      <c r="B128">
        <v>118</v>
      </c>
      <c r="C128" s="2">
        <f t="shared" si="12"/>
        <v>46822</v>
      </c>
      <c r="D128" s="4">
        <f t="shared" si="13"/>
        <v>26500</v>
      </c>
      <c r="E128" s="4">
        <f t="shared" si="14"/>
        <v>77510145.148359582</v>
      </c>
      <c r="F128" s="3">
        <f t="shared" si="15"/>
        <v>82933956.843709707</v>
      </c>
      <c r="G128" s="4">
        <f t="shared" si="8"/>
        <v>82907456.843709707</v>
      </c>
      <c r="H128" s="4">
        <f t="shared" si="9"/>
        <v>26500</v>
      </c>
      <c r="I128" s="4">
        <f t="shared" si="10"/>
        <v>-82907456.843709707</v>
      </c>
      <c r="J128" s="1">
        <f t="shared" si="11"/>
        <v>0</v>
      </c>
    </row>
    <row r="129" spans="2:10" x14ac:dyDescent="0.25">
      <c r="B129">
        <v>119</v>
      </c>
      <c r="C129" s="2">
        <f t="shared" si="12"/>
        <v>46852</v>
      </c>
      <c r="D129" s="4">
        <f t="shared" si="13"/>
        <v>26500</v>
      </c>
      <c r="E129" s="4">
        <f t="shared" si="14"/>
        <v>82933956.843709707</v>
      </c>
      <c r="F129" s="3">
        <f t="shared" si="15"/>
        <v>88737302.511681199</v>
      </c>
      <c r="G129" s="4">
        <f t="shared" si="8"/>
        <v>88710802.511681199</v>
      </c>
      <c r="H129" s="4">
        <f t="shared" si="9"/>
        <v>26500</v>
      </c>
      <c r="I129" s="4">
        <f t="shared" si="10"/>
        <v>-88710802.511681199</v>
      </c>
      <c r="J129" s="1">
        <f t="shared" si="11"/>
        <v>0</v>
      </c>
    </row>
    <row r="130" spans="2:10" x14ac:dyDescent="0.25">
      <c r="B130">
        <v>120</v>
      </c>
      <c r="C130" s="2">
        <f t="shared" si="12"/>
        <v>46882</v>
      </c>
      <c r="D130" s="4">
        <f t="shared" si="13"/>
        <v>26500</v>
      </c>
      <c r="E130" s="4">
        <f t="shared" si="14"/>
        <v>88737302.511681199</v>
      </c>
      <c r="F130" s="3">
        <f t="shared" si="15"/>
        <v>94946740.234387666</v>
      </c>
      <c r="G130" s="4">
        <f t="shared" si="8"/>
        <v>94920240.234387666</v>
      </c>
      <c r="H130" s="4">
        <f t="shared" si="9"/>
        <v>26500</v>
      </c>
      <c r="I130" s="4">
        <f t="shared" si="10"/>
        <v>-94920240.234387666</v>
      </c>
      <c r="J130" s="1">
        <f t="shared" si="11"/>
        <v>0</v>
      </c>
    </row>
    <row r="131" spans="2:10" x14ac:dyDescent="0.25">
      <c r="B131">
        <v>120</v>
      </c>
      <c r="C131" s="2">
        <f t="shared" ref="C131" si="16">C130+30</f>
        <v>46912</v>
      </c>
      <c r="D131" s="4">
        <f t="shared" si="13"/>
        <v>26500</v>
      </c>
      <c r="E131" s="4">
        <f t="shared" si="14"/>
        <v>94946740.234387666</v>
      </c>
      <c r="F131" s="3">
        <f t="shared" si="15"/>
        <v>101590686.50920044</v>
      </c>
      <c r="G131" s="4">
        <f t="shared" ref="G131" si="17">F131-D131</f>
        <v>101564186.50920044</v>
      </c>
      <c r="H131" s="4">
        <f t="shared" ref="H131" si="18">D131</f>
        <v>26500</v>
      </c>
      <c r="I131" s="4">
        <f t="shared" ref="I131" si="19">H131-F131</f>
        <v>-101564186.50920044</v>
      </c>
      <c r="J131" s="1">
        <f t="shared" ref="J131" si="20">(H131-D131)/D131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PHM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Sairam Simha</dc:creator>
  <cp:lastModifiedBy>Sairam Simha</cp:lastModifiedBy>
  <dcterms:created xsi:type="dcterms:W3CDTF">2018-05-14T19:31:23Z</dcterms:created>
  <dcterms:modified xsi:type="dcterms:W3CDTF">2018-05-14T20:23:50Z</dcterms:modified>
</cp:coreProperties>
</file>